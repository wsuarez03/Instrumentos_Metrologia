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istracion\Downloads\"/>
    </mc:Choice>
  </mc:AlternateContent>
  <xr:revisionPtr revIDLastSave="748" documentId="13_ncr:1_{52991AD4-5B0B-4EBB-9046-251FFF4EF96A}" xr6:coauthVersionLast="47" xr6:coauthVersionMax="47" xr10:uidLastSave="{C80DCF78-4471-4E62-A0C1-C66BCE3B854D}"/>
  <bookViews>
    <workbookView xWindow="-120" yWindow="-120" windowWidth="29040" windowHeight="15840" activeTab="2" xr2:uid="{1CA7F04D-F6A5-437E-8B29-F6F216A68574}"/>
  </bookViews>
  <sheets>
    <sheet name="CONTROL CALIBRACIONES" sheetId="1" r:id="rId1"/>
    <sheet name="datos" sheetId="22" state="hidden" r:id="rId2"/>
    <sheet name="VERIFICACIÓN MAN-001" sheetId="11" r:id="rId3"/>
    <sheet name="VERIFICACIÓN CRYSTAL 1k" sheetId="12" r:id="rId4"/>
    <sheet name="VERIFICACIÓN CRYSTAL 5k" sheetId="13" r:id="rId5"/>
    <sheet name="VERIFICACIÓN ADDITEL" sheetId="14" r:id="rId6"/>
    <sheet name="VERIFICACIÓN DANFOSS 870 " sheetId="15" r:id="rId7"/>
    <sheet name="VERIFICACIÓN DANFOSS 3625" sheetId="16" r:id="rId8"/>
    <sheet name="VERIFICACIÓN DANFOSS 145 " sheetId="17" r:id="rId9"/>
    <sheet name="VERIFICACIÓN RITHERM" sheetId="18" r:id="rId10"/>
    <sheet name="VERIFICACIÓN APPLISENS" sheetId="19" r:id="rId11"/>
    <sheet name="VERIFICACIÓN VST 2" sheetId="20" r:id="rId12"/>
    <sheet name="VERIFICACIÓN VST 3" sheetId="21" r:id="rId13"/>
    <sheet name="DERIVA" sheetId="7" r:id="rId14"/>
    <sheet name="OBSOLETOS" sheetId="8" r:id="rId15"/>
    <sheet name="CONTROL DE CAMBIOS" sheetId="2" r:id="rId16"/>
  </sheets>
  <externalReferences>
    <externalReference r:id="rId1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M19" i="1"/>
  <c r="M97" i="21"/>
  <c r="L97" i="21"/>
  <c r="F97" i="21"/>
  <c r="C97" i="21"/>
  <c r="M96" i="21"/>
  <c r="L96" i="21"/>
  <c r="F96" i="21"/>
  <c r="C96" i="21"/>
  <c r="M95" i="21"/>
  <c r="L95" i="21"/>
  <c r="F95" i="21"/>
  <c r="C95" i="21"/>
  <c r="M94" i="21"/>
  <c r="L94" i="21"/>
  <c r="F94" i="21"/>
  <c r="C94" i="21"/>
  <c r="M93" i="21"/>
  <c r="L93" i="21"/>
  <c r="F93" i="21"/>
  <c r="C93" i="21"/>
  <c r="M92" i="21"/>
  <c r="L92" i="21"/>
  <c r="F92" i="21"/>
  <c r="C92" i="21"/>
  <c r="M91" i="21"/>
  <c r="L91" i="21"/>
  <c r="F91" i="21"/>
  <c r="C91" i="21"/>
  <c r="M90" i="21"/>
  <c r="L90" i="21"/>
  <c r="F90" i="21"/>
  <c r="H90" i="21" s="1"/>
  <c r="C90" i="21"/>
  <c r="G83" i="21"/>
  <c r="H83" i="21" s="1"/>
  <c r="M57" i="21"/>
  <c r="L57" i="21"/>
  <c r="F57" i="21"/>
  <c r="C57" i="21"/>
  <c r="M56" i="21"/>
  <c r="L56" i="21"/>
  <c r="F56" i="21"/>
  <c r="C56" i="21"/>
  <c r="M55" i="21"/>
  <c r="L55" i="21"/>
  <c r="F55" i="21"/>
  <c r="C55" i="21"/>
  <c r="M54" i="21"/>
  <c r="L54" i="21"/>
  <c r="F54" i="21"/>
  <c r="C54" i="21"/>
  <c r="M53" i="21"/>
  <c r="L53" i="21"/>
  <c r="F53" i="21"/>
  <c r="C53" i="21"/>
  <c r="M52" i="21"/>
  <c r="L52" i="21"/>
  <c r="F52" i="21"/>
  <c r="C52" i="21"/>
  <c r="M51" i="21"/>
  <c r="L51" i="21"/>
  <c r="F51" i="21"/>
  <c r="C51" i="21"/>
  <c r="M50" i="21"/>
  <c r="L50" i="21"/>
  <c r="F50" i="21"/>
  <c r="H50" i="21" s="1"/>
  <c r="C50" i="21"/>
  <c r="G43" i="21"/>
  <c r="H43" i="21" s="1"/>
  <c r="M17" i="21"/>
  <c r="L17" i="21"/>
  <c r="F17" i="21"/>
  <c r="C17" i="21"/>
  <c r="M16" i="21"/>
  <c r="L16" i="21"/>
  <c r="F16" i="21"/>
  <c r="C16" i="21"/>
  <c r="M15" i="21"/>
  <c r="L15" i="21"/>
  <c r="F15" i="21"/>
  <c r="C15" i="21"/>
  <c r="M14" i="21"/>
  <c r="L14" i="21"/>
  <c r="F14" i="21"/>
  <c r="C14" i="21"/>
  <c r="M13" i="21"/>
  <c r="L13" i="21"/>
  <c r="F13" i="21"/>
  <c r="C13" i="21"/>
  <c r="M12" i="21"/>
  <c r="L12" i="21"/>
  <c r="F12" i="21"/>
  <c r="C12" i="21"/>
  <c r="M11" i="21"/>
  <c r="L11" i="21"/>
  <c r="F11" i="21"/>
  <c r="C11" i="21"/>
  <c r="M10" i="21"/>
  <c r="L10" i="21"/>
  <c r="F10" i="21"/>
  <c r="H10" i="21" s="1"/>
  <c r="C10" i="21"/>
  <c r="G3" i="21"/>
  <c r="H3" i="21" s="1"/>
  <c r="M96" i="20"/>
  <c r="L96" i="20"/>
  <c r="F96" i="20"/>
  <c r="C96" i="20"/>
  <c r="M95" i="20"/>
  <c r="L95" i="20"/>
  <c r="F95" i="20"/>
  <c r="C95" i="20"/>
  <c r="M94" i="20"/>
  <c r="L94" i="20"/>
  <c r="F94" i="20"/>
  <c r="C94" i="20"/>
  <c r="M93" i="20"/>
  <c r="L93" i="20"/>
  <c r="F93" i="20"/>
  <c r="C93" i="20"/>
  <c r="M92" i="20"/>
  <c r="L92" i="20"/>
  <c r="F92" i="20"/>
  <c r="C92" i="20"/>
  <c r="M91" i="20"/>
  <c r="L91" i="20"/>
  <c r="F91" i="20"/>
  <c r="C91" i="20"/>
  <c r="M90" i="20"/>
  <c r="L90" i="20"/>
  <c r="F90" i="20"/>
  <c r="C90" i="20"/>
  <c r="M89" i="20"/>
  <c r="L89" i="20"/>
  <c r="F89" i="20"/>
  <c r="H89" i="20" s="1"/>
  <c r="C89" i="20"/>
  <c r="G82" i="20"/>
  <c r="H82" i="20" s="1"/>
  <c r="M56" i="20"/>
  <c r="L56" i="20"/>
  <c r="F56" i="20"/>
  <c r="C56" i="20"/>
  <c r="M55" i="20"/>
  <c r="L55" i="20"/>
  <c r="F55" i="20"/>
  <c r="C55" i="20"/>
  <c r="M54" i="20"/>
  <c r="L54" i="20"/>
  <c r="F54" i="20"/>
  <c r="C54" i="20"/>
  <c r="M53" i="20"/>
  <c r="L53" i="20"/>
  <c r="F53" i="20"/>
  <c r="C53" i="20"/>
  <c r="M52" i="20"/>
  <c r="L52" i="20"/>
  <c r="F52" i="20"/>
  <c r="C52" i="20"/>
  <c r="M51" i="20"/>
  <c r="L51" i="20"/>
  <c r="F51" i="20"/>
  <c r="C51" i="20"/>
  <c r="M50" i="20"/>
  <c r="L50" i="20"/>
  <c r="F50" i="20"/>
  <c r="C50" i="20"/>
  <c r="M49" i="20"/>
  <c r="L49" i="20"/>
  <c r="F49" i="20"/>
  <c r="H49" i="20" s="1"/>
  <c r="C49" i="20"/>
  <c r="G42" i="20"/>
  <c r="H42" i="20" s="1"/>
  <c r="M17" i="20"/>
  <c r="L17" i="20"/>
  <c r="F17" i="20"/>
  <c r="C17" i="20"/>
  <c r="M16" i="20"/>
  <c r="L16" i="20"/>
  <c r="F16" i="20"/>
  <c r="C16" i="20"/>
  <c r="M15" i="20"/>
  <c r="L15" i="20"/>
  <c r="F15" i="20"/>
  <c r="C15" i="20"/>
  <c r="M14" i="20"/>
  <c r="L14" i="20"/>
  <c r="F14" i="20"/>
  <c r="C14" i="20"/>
  <c r="M13" i="20"/>
  <c r="L13" i="20"/>
  <c r="F13" i="20"/>
  <c r="C13" i="20"/>
  <c r="M12" i="20"/>
  <c r="L12" i="20"/>
  <c r="F12" i="20"/>
  <c r="C12" i="20"/>
  <c r="M11" i="20"/>
  <c r="L11" i="20"/>
  <c r="F11" i="20"/>
  <c r="C11" i="20"/>
  <c r="M10" i="20"/>
  <c r="L10" i="20"/>
  <c r="F10" i="20"/>
  <c r="H10" i="20" s="1"/>
  <c r="C10" i="20"/>
  <c r="G3" i="20"/>
  <c r="H3" i="20" s="1"/>
  <c r="F4" i="19"/>
  <c r="F3" i="19"/>
  <c r="E3" i="19"/>
  <c r="D3" i="19"/>
  <c r="F4" i="18"/>
  <c r="F3" i="18"/>
  <c r="E3" i="18"/>
  <c r="D3" i="18"/>
  <c r="H42" i="19"/>
  <c r="E42" i="19"/>
  <c r="D42" i="19"/>
  <c r="C42" i="19"/>
  <c r="G42" i="19" s="1"/>
  <c r="B42" i="19"/>
  <c r="H41" i="19"/>
  <c r="E41" i="19"/>
  <c r="D41" i="19"/>
  <c r="C41" i="19"/>
  <c r="G41" i="19" s="1"/>
  <c r="B41" i="19"/>
  <c r="H40" i="19"/>
  <c r="E40" i="19"/>
  <c r="D40" i="19"/>
  <c r="C40" i="19"/>
  <c r="G40" i="19" s="1"/>
  <c r="B40" i="19"/>
  <c r="H39" i="19"/>
  <c r="E39" i="19"/>
  <c r="D39" i="19"/>
  <c r="C39" i="19"/>
  <c r="G39" i="19" s="1"/>
  <c r="B39" i="19"/>
  <c r="H38" i="19"/>
  <c r="E38" i="19"/>
  <c r="D38" i="19"/>
  <c r="C38" i="19"/>
  <c r="G38" i="19" s="1"/>
  <c r="B38" i="19"/>
  <c r="H37" i="19"/>
  <c r="E37" i="19"/>
  <c r="D37" i="19"/>
  <c r="C37" i="19"/>
  <c r="G37" i="19" s="1"/>
  <c r="B37" i="19"/>
  <c r="H36" i="19"/>
  <c r="E36" i="19"/>
  <c r="D36" i="19"/>
  <c r="C36" i="19"/>
  <c r="G36" i="19" s="1"/>
  <c r="B36" i="19"/>
  <c r="H35" i="19"/>
  <c r="E35" i="19"/>
  <c r="D35" i="19"/>
  <c r="C35" i="19"/>
  <c r="G35" i="19" s="1"/>
  <c r="B35" i="19"/>
  <c r="K33" i="19"/>
  <c r="J33" i="19"/>
  <c r="K32" i="19"/>
  <c r="J32" i="19"/>
  <c r="K31" i="19"/>
  <c r="J31" i="19"/>
  <c r="K30" i="19"/>
  <c r="J30" i="19"/>
  <c r="K29" i="19"/>
  <c r="J29" i="19"/>
  <c r="K28" i="19"/>
  <c r="J28" i="19"/>
  <c r="K27" i="19"/>
  <c r="J27" i="19"/>
  <c r="K26" i="19"/>
  <c r="J26" i="19"/>
  <c r="H26" i="19"/>
  <c r="G26" i="19"/>
  <c r="F20" i="19"/>
  <c r="D20" i="19"/>
  <c r="F19" i="19"/>
  <c r="D19" i="19"/>
  <c r="F18" i="19"/>
  <c r="D18" i="19"/>
  <c r="F17" i="19"/>
  <c r="D17" i="19"/>
  <c r="F16" i="19"/>
  <c r="D16" i="19"/>
  <c r="F15" i="19"/>
  <c r="D15" i="19"/>
  <c r="F14" i="19"/>
  <c r="D14" i="19"/>
  <c r="F13" i="19"/>
  <c r="D13" i="19"/>
  <c r="F12" i="19"/>
  <c r="D12" i="19"/>
  <c r="F11" i="19"/>
  <c r="D11" i="19"/>
  <c r="F10" i="19"/>
  <c r="D10" i="19"/>
  <c r="L9" i="19"/>
  <c r="K9" i="19"/>
  <c r="D9" i="19"/>
  <c r="G9" i="19" s="1"/>
  <c r="I12" i="19"/>
  <c r="G3" i="19"/>
  <c r="H43" i="18"/>
  <c r="E43" i="18"/>
  <c r="D43" i="18"/>
  <c r="C43" i="18"/>
  <c r="G43" i="18" s="1"/>
  <c r="B43" i="18"/>
  <c r="H42" i="18"/>
  <c r="E42" i="18"/>
  <c r="D42" i="18"/>
  <c r="C42" i="18"/>
  <c r="G42" i="18" s="1"/>
  <c r="B42" i="18"/>
  <c r="H41" i="18"/>
  <c r="E41" i="18"/>
  <c r="D41" i="18"/>
  <c r="C41" i="18"/>
  <c r="G41" i="18" s="1"/>
  <c r="B41" i="18"/>
  <c r="H40" i="18"/>
  <c r="E40" i="18"/>
  <c r="D40" i="18"/>
  <c r="C40" i="18"/>
  <c r="G40" i="18" s="1"/>
  <c r="B40" i="18"/>
  <c r="H39" i="18"/>
  <c r="E39" i="18"/>
  <c r="D39" i="18"/>
  <c r="C39" i="18"/>
  <c r="G39" i="18" s="1"/>
  <c r="B39" i="18"/>
  <c r="H38" i="18"/>
  <c r="E38" i="18"/>
  <c r="D38" i="18"/>
  <c r="C38" i="18"/>
  <c r="G38" i="18" s="1"/>
  <c r="B38" i="18"/>
  <c r="H37" i="18"/>
  <c r="E37" i="18"/>
  <c r="D37" i="18"/>
  <c r="C37" i="18"/>
  <c r="G37" i="18" s="1"/>
  <c r="B37" i="18"/>
  <c r="H36" i="18"/>
  <c r="E36" i="18"/>
  <c r="D36" i="18"/>
  <c r="C36" i="18"/>
  <c r="G36" i="18" s="1"/>
  <c r="B36" i="18"/>
  <c r="K34" i="18"/>
  <c r="J34" i="18"/>
  <c r="K33" i="18"/>
  <c r="J33" i="18"/>
  <c r="K32" i="18"/>
  <c r="J32" i="18"/>
  <c r="K31" i="18"/>
  <c r="J31" i="18"/>
  <c r="K30" i="18"/>
  <c r="J30" i="18"/>
  <c r="K29" i="18"/>
  <c r="J29" i="18"/>
  <c r="K28" i="18"/>
  <c r="J28" i="18"/>
  <c r="K27" i="18"/>
  <c r="J27" i="18"/>
  <c r="H27" i="18"/>
  <c r="G27" i="18"/>
  <c r="F21" i="18"/>
  <c r="D21" i="18"/>
  <c r="F20" i="18"/>
  <c r="D20" i="18"/>
  <c r="F19" i="18"/>
  <c r="D19" i="18"/>
  <c r="F18" i="18"/>
  <c r="D18" i="18"/>
  <c r="F17" i="18"/>
  <c r="D17" i="18"/>
  <c r="F16" i="18"/>
  <c r="D16" i="18"/>
  <c r="F15" i="18"/>
  <c r="D15" i="18"/>
  <c r="F14" i="18"/>
  <c r="D14" i="18"/>
  <c r="F13" i="18"/>
  <c r="D13" i="18"/>
  <c r="F12" i="18"/>
  <c r="D12" i="18"/>
  <c r="F11" i="18"/>
  <c r="D11" i="18"/>
  <c r="F10" i="18"/>
  <c r="D10" i="18"/>
  <c r="L9" i="18"/>
  <c r="K9" i="18"/>
  <c r="D9" i="18"/>
  <c r="G9" i="18" s="1"/>
  <c r="I12" i="18"/>
  <c r="G3" i="18"/>
  <c r="F4" i="17"/>
  <c r="F3" i="17"/>
  <c r="E3" i="17"/>
  <c r="D3" i="17"/>
  <c r="F4" i="16"/>
  <c r="F3" i="16"/>
  <c r="E3" i="16"/>
  <c r="D3" i="16"/>
  <c r="E40" i="17"/>
  <c r="D40" i="17"/>
  <c r="C40" i="17"/>
  <c r="B40" i="17"/>
  <c r="E39" i="17"/>
  <c r="D39" i="17"/>
  <c r="C39" i="17"/>
  <c r="B39" i="17"/>
  <c r="E38" i="17"/>
  <c r="D38" i="17"/>
  <c r="C38" i="17"/>
  <c r="B38" i="17"/>
  <c r="E37" i="17"/>
  <c r="D37" i="17"/>
  <c r="C37" i="17"/>
  <c r="B37" i="17"/>
  <c r="E36" i="17"/>
  <c r="D36" i="17"/>
  <c r="C36" i="17"/>
  <c r="B36" i="17"/>
  <c r="E35" i="17"/>
  <c r="D35" i="17"/>
  <c r="C35" i="17"/>
  <c r="B35" i="17"/>
  <c r="E34" i="17"/>
  <c r="D34" i="17"/>
  <c r="C34" i="17"/>
  <c r="B34" i="17"/>
  <c r="E33" i="17"/>
  <c r="D33" i="17"/>
  <c r="C33" i="17"/>
  <c r="B33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F18" i="17"/>
  <c r="D18" i="17"/>
  <c r="F17" i="17"/>
  <c r="D17" i="17"/>
  <c r="F16" i="17"/>
  <c r="D16" i="17"/>
  <c r="F15" i="17"/>
  <c r="D15" i="17"/>
  <c r="F14" i="17"/>
  <c r="D14" i="17"/>
  <c r="F13" i="17"/>
  <c r="D13" i="17"/>
  <c r="F12" i="17"/>
  <c r="D12" i="17"/>
  <c r="F11" i="17"/>
  <c r="D11" i="17"/>
  <c r="F10" i="17"/>
  <c r="D10" i="17"/>
  <c r="L9" i="17"/>
  <c r="K9" i="17"/>
  <c r="D9" i="17"/>
  <c r="G9" i="17" s="1"/>
  <c r="I12" i="17"/>
  <c r="G3" i="17"/>
  <c r="E42" i="16"/>
  <c r="D42" i="16"/>
  <c r="C42" i="16"/>
  <c r="B42" i="16"/>
  <c r="E41" i="16"/>
  <c r="D41" i="16"/>
  <c r="C41" i="16"/>
  <c r="B41" i="16"/>
  <c r="E40" i="16"/>
  <c r="D40" i="16"/>
  <c r="C40" i="16"/>
  <c r="B40" i="16"/>
  <c r="E39" i="16"/>
  <c r="D39" i="16"/>
  <c r="C39" i="16"/>
  <c r="B39" i="16"/>
  <c r="E38" i="16"/>
  <c r="D38" i="16"/>
  <c r="C38" i="16"/>
  <c r="B38" i="16"/>
  <c r="E37" i="16"/>
  <c r="D37" i="16"/>
  <c r="C37" i="16"/>
  <c r="B37" i="16"/>
  <c r="E36" i="16"/>
  <c r="D36" i="16"/>
  <c r="C36" i="16"/>
  <c r="B36" i="16"/>
  <c r="E35" i="16"/>
  <c r="D35" i="16"/>
  <c r="C35" i="16"/>
  <c r="B35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F20" i="16"/>
  <c r="D20" i="16"/>
  <c r="F19" i="16"/>
  <c r="D19" i="16"/>
  <c r="F18" i="16"/>
  <c r="D18" i="16"/>
  <c r="F17" i="16"/>
  <c r="D17" i="16"/>
  <c r="F16" i="16"/>
  <c r="D16" i="16"/>
  <c r="F15" i="16"/>
  <c r="D15" i="16"/>
  <c r="F14" i="16"/>
  <c r="D14" i="16"/>
  <c r="F13" i="16"/>
  <c r="D13" i="16"/>
  <c r="F12" i="16"/>
  <c r="D12" i="16"/>
  <c r="F11" i="16"/>
  <c r="D11" i="16"/>
  <c r="F10" i="16"/>
  <c r="D10" i="16"/>
  <c r="L9" i="16"/>
  <c r="K9" i="16"/>
  <c r="D9" i="16"/>
  <c r="G9" i="16" s="1"/>
  <c r="I12" i="16"/>
  <c r="G3" i="16"/>
  <c r="F4" i="15"/>
  <c r="F3" i="15"/>
  <c r="E3" i="15"/>
  <c r="D3" i="15"/>
  <c r="E41" i="15"/>
  <c r="D41" i="15"/>
  <c r="C41" i="15"/>
  <c r="B41" i="15"/>
  <c r="E40" i="15"/>
  <c r="D40" i="15"/>
  <c r="C40" i="15"/>
  <c r="B40" i="15"/>
  <c r="E39" i="15"/>
  <c r="D39" i="15"/>
  <c r="C39" i="15"/>
  <c r="B39" i="15"/>
  <c r="E38" i="15"/>
  <c r="D38" i="15"/>
  <c r="C38" i="15"/>
  <c r="B38" i="15"/>
  <c r="E37" i="15"/>
  <c r="D37" i="15"/>
  <c r="C37" i="15"/>
  <c r="B37" i="15"/>
  <c r="E36" i="15"/>
  <c r="D36" i="15"/>
  <c r="C36" i="15"/>
  <c r="B36" i="15"/>
  <c r="E35" i="15"/>
  <c r="D35" i="15"/>
  <c r="C35" i="15"/>
  <c r="B35" i="15"/>
  <c r="E34" i="15"/>
  <c r="D34" i="15"/>
  <c r="C34" i="15"/>
  <c r="B34" i="15"/>
  <c r="K32" i="15"/>
  <c r="J32" i="15"/>
  <c r="K31" i="15"/>
  <c r="J31" i="15"/>
  <c r="K30" i="15"/>
  <c r="J30" i="15"/>
  <c r="K29" i="15"/>
  <c r="J29" i="15"/>
  <c r="K28" i="15"/>
  <c r="J28" i="15"/>
  <c r="K27" i="15"/>
  <c r="J27" i="15"/>
  <c r="K26" i="15"/>
  <c r="J26" i="15"/>
  <c r="K25" i="15"/>
  <c r="J25" i="15"/>
  <c r="F19" i="15"/>
  <c r="D19" i="15"/>
  <c r="F18" i="15"/>
  <c r="D18" i="15"/>
  <c r="F17" i="15"/>
  <c r="D17" i="15"/>
  <c r="F16" i="15"/>
  <c r="D16" i="15"/>
  <c r="F15" i="15"/>
  <c r="D15" i="15"/>
  <c r="F14" i="15"/>
  <c r="D14" i="15"/>
  <c r="F13" i="15"/>
  <c r="D13" i="15"/>
  <c r="F12" i="15"/>
  <c r="D12" i="15"/>
  <c r="F11" i="15"/>
  <c r="D11" i="15"/>
  <c r="F10" i="15"/>
  <c r="D10" i="15"/>
  <c r="L9" i="15"/>
  <c r="K9" i="15"/>
  <c r="D9" i="15"/>
  <c r="G9" i="15" s="1"/>
  <c r="I12" i="15"/>
  <c r="F4" i="14"/>
  <c r="F3" i="14"/>
  <c r="D4" i="14"/>
  <c r="D3" i="14"/>
  <c r="E3" i="14"/>
  <c r="E40" i="14"/>
  <c r="D40" i="14"/>
  <c r="C40" i="14"/>
  <c r="B40" i="14"/>
  <c r="E39" i="14"/>
  <c r="D39" i="14"/>
  <c r="C39" i="14"/>
  <c r="B39" i="14"/>
  <c r="E38" i="14"/>
  <c r="D38" i="14"/>
  <c r="C38" i="14"/>
  <c r="B38" i="14"/>
  <c r="E37" i="14"/>
  <c r="D37" i="14"/>
  <c r="C37" i="14"/>
  <c r="B37" i="14"/>
  <c r="E36" i="14"/>
  <c r="D36" i="14"/>
  <c r="C36" i="14"/>
  <c r="B36" i="14"/>
  <c r="E35" i="14"/>
  <c r="D35" i="14"/>
  <c r="C35" i="14"/>
  <c r="B35" i="14"/>
  <c r="E34" i="14"/>
  <c r="D34" i="14"/>
  <c r="C34" i="14"/>
  <c r="B34" i="14"/>
  <c r="E33" i="14"/>
  <c r="D33" i="14"/>
  <c r="C33" i="14"/>
  <c r="B33" i="14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G9" i="14" s="1"/>
  <c r="F4" i="12"/>
  <c r="F4" i="13"/>
  <c r="D4" i="13"/>
  <c r="F3" i="13"/>
  <c r="E3" i="13"/>
  <c r="D3" i="13"/>
  <c r="D4" i="12"/>
  <c r="F3" i="12"/>
  <c r="E3" i="12"/>
  <c r="D3" i="12"/>
  <c r="F3" i="11"/>
  <c r="E3" i="11"/>
  <c r="D3" i="11"/>
  <c r="E40" i="13"/>
  <c r="D40" i="13"/>
  <c r="C40" i="13"/>
  <c r="B40" i="13"/>
  <c r="E39" i="13"/>
  <c r="D39" i="13"/>
  <c r="C39" i="13"/>
  <c r="B39" i="13"/>
  <c r="E38" i="13"/>
  <c r="D38" i="13"/>
  <c r="C38" i="13"/>
  <c r="B38" i="13"/>
  <c r="E37" i="13"/>
  <c r="D37" i="13"/>
  <c r="C37" i="13"/>
  <c r="B37" i="13"/>
  <c r="E36" i="13"/>
  <c r="D36" i="13"/>
  <c r="C36" i="13"/>
  <c r="B36" i="13"/>
  <c r="E35" i="13"/>
  <c r="D35" i="13"/>
  <c r="C35" i="13"/>
  <c r="B35" i="13"/>
  <c r="E34" i="13"/>
  <c r="D34" i="13"/>
  <c r="C34" i="13"/>
  <c r="B34" i="13"/>
  <c r="E33" i="13"/>
  <c r="D33" i="13"/>
  <c r="C33" i="13"/>
  <c r="B33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G9" i="13" s="1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F18" i="12"/>
  <c r="D18" i="12"/>
  <c r="F17" i="12"/>
  <c r="D17" i="12"/>
  <c r="F16" i="12"/>
  <c r="D16" i="12"/>
  <c r="F15" i="12"/>
  <c r="D15" i="12"/>
  <c r="F14" i="12"/>
  <c r="D14" i="12"/>
  <c r="F13" i="12"/>
  <c r="D13" i="12"/>
  <c r="F12" i="12"/>
  <c r="D12" i="12"/>
  <c r="F11" i="12"/>
  <c r="D11" i="12"/>
  <c r="F10" i="12"/>
  <c r="D10" i="12"/>
  <c r="F9" i="12"/>
  <c r="D9" i="12"/>
  <c r="G9" i="12" s="1"/>
  <c r="F17" i="11"/>
  <c r="D17" i="11"/>
  <c r="F16" i="11"/>
  <c r="D16" i="11"/>
  <c r="F15" i="11"/>
  <c r="D15" i="11"/>
  <c r="F14" i="11"/>
  <c r="D14" i="11"/>
  <c r="F13" i="11"/>
  <c r="D13" i="11"/>
  <c r="F12" i="11"/>
  <c r="D12" i="11"/>
  <c r="F11" i="11"/>
  <c r="D11" i="11"/>
  <c r="F10" i="11"/>
  <c r="D10" i="11"/>
  <c r="F9" i="11"/>
  <c r="D9" i="11"/>
  <c r="F8" i="11"/>
  <c r="D8" i="11"/>
  <c r="H44" i="1"/>
  <c r="I44" i="1" s="1"/>
  <c r="M44" i="1" s="1"/>
  <c r="H43" i="1"/>
  <c r="I43" i="1" s="1"/>
  <c r="M43" i="1" s="1"/>
  <c r="H42" i="1"/>
  <c r="I42" i="1" s="1"/>
  <c r="M42" i="1" s="1"/>
  <c r="H41" i="1"/>
  <c r="I41" i="1" s="1"/>
  <c r="M41" i="1" s="1"/>
  <c r="H40" i="1"/>
  <c r="I40" i="1" s="1"/>
  <c r="M40" i="1" s="1"/>
  <c r="H39" i="1"/>
  <c r="I39" i="1" s="1"/>
  <c r="M39" i="1" s="1"/>
  <c r="H38" i="1"/>
  <c r="I38" i="1" s="1"/>
  <c r="M38" i="1" s="1"/>
  <c r="H37" i="1"/>
  <c r="I37" i="1" s="1"/>
  <c r="M37" i="1" s="1"/>
  <c r="H33" i="1"/>
  <c r="I33" i="1" s="1"/>
  <c r="M33" i="1" s="1"/>
  <c r="H32" i="1"/>
  <c r="I32" i="1" s="1"/>
  <c r="M32" i="1" s="1"/>
  <c r="H31" i="1"/>
  <c r="I31" i="1" s="1"/>
  <c r="M31" i="1" s="1"/>
  <c r="H30" i="1"/>
  <c r="I30" i="1" s="1"/>
  <c r="M30" i="1" s="1"/>
  <c r="H29" i="1"/>
  <c r="I29" i="1" s="1"/>
  <c r="M29" i="1" s="1"/>
  <c r="H25" i="1"/>
  <c r="I25" i="1" s="1"/>
  <c r="M25" i="1" s="1"/>
  <c r="H24" i="1"/>
  <c r="I24" i="1" s="1"/>
  <c r="M24" i="1" s="1"/>
  <c r="H23" i="1"/>
  <c r="I23" i="1" s="1"/>
  <c r="M23" i="1" s="1"/>
  <c r="H22" i="1"/>
  <c r="I22" i="1" s="1"/>
  <c r="M22" i="1" s="1"/>
  <c r="H21" i="1"/>
  <c r="I21" i="1" s="1"/>
  <c r="M21" i="1" s="1"/>
  <c r="H20" i="1"/>
  <c r="I20" i="1" s="1"/>
  <c r="M20" i="1" s="1"/>
  <c r="H18" i="1"/>
  <c r="I18" i="1" s="1"/>
  <c r="M18" i="1" s="1"/>
  <c r="H17" i="1"/>
  <c r="I17" i="1" s="1"/>
  <c r="M17" i="1" s="1"/>
  <c r="H16" i="1"/>
  <c r="I16" i="1" s="1"/>
  <c r="M16" i="1" s="1"/>
  <c r="H15" i="1"/>
  <c r="I15" i="1" s="1"/>
  <c r="M15" i="1" s="1"/>
  <c r="H14" i="1"/>
  <c r="I14" i="1" s="1"/>
  <c r="H15" i="8"/>
  <c r="I15" i="8" s="1"/>
  <c r="H14" i="8"/>
  <c r="I14" i="8" s="1"/>
  <c r="M14" i="1" l="1"/>
  <c r="I3" i="19"/>
  <c r="H3" i="19"/>
  <c r="L10" i="19"/>
  <c r="K10" i="19"/>
  <c r="L11" i="19"/>
  <c r="K11" i="19"/>
  <c r="L12" i="19"/>
  <c r="K12" i="19"/>
  <c r="L13" i="19"/>
  <c r="K13" i="19"/>
  <c r="L14" i="19"/>
  <c r="K14" i="19"/>
  <c r="L15" i="19"/>
  <c r="K15" i="19"/>
  <c r="L16" i="19"/>
  <c r="K16" i="19"/>
  <c r="L17" i="19"/>
  <c r="K17" i="19"/>
  <c r="L18" i="19"/>
  <c r="K18" i="19"/>
  <c r="L19" i="19"/>
  <c r="K19" i="19"/>
  <c r="L20" i="19"/>
  <c r="K20" i="19"/>
  <c r="I3" i="18"/>
  <c r="H3" i="18"/>
  <c r="L10" i="18"/>
  <c r="K10" i="18"/>
  <c r="L11" i="18"/>
  <c r="K11" i="18"/>
  <c r="L12" i="18"/>
  <c r="K12" i="18"/>
  <c r="L13" i="18"/>
  <c r="K13" i="18"/>
  <c r="L14" i="18"/>
  <c r="K14" i="18"/>
  <c r="L15" i="18"/>
  <c r="K15" i="18"/>
  <c r="L16" i="18"/>
  <c r="K16" i="18"/>
  <c r="L17" i="18"/>
  <c r="K17" i="18"/>
  <c r="L18" i="18"/>
  <c r="K18" i="18"/>
  <c r="L19" i="18"/>
  <c r="K19" i="18"/>
  <c r="L20" i="18"/>
  <c r="K20" i="18"/>
  <c r="L21" i="18"/>
  <c r="K21" i="18"/>
  <c r="I3" i="17"/>
  <c r="H3" i="17"/>
  <c r="L10" i="17"/>
  <c r="K10" i="17"/>
  <c r="L11" i="17"/>
  <c r="K11" i="17"/>
  <c r="L12" i="17"/>
  <c r="K12" i="17"/>
  <c r="L13" i="17"/>
  <c r="K13" i="17"/>
  <c r="L14" i="17"/>
  <c r="K14" i="17"/>
  <c r="L15" i="17"/>
  <c r="K15" i="17"/>
  <c r="L16" i="17"/>
  <c r="K16" i="17"/>
  <c r="L17" i="17"/>
  <c r="K17" i="17"/>
  <c r="L18" i="17"/>
  <c r="K18" i="17"/>
  <c r="H33" i="17"/>
  <c r="G33" i="17"/>
  <c r="H34" i="17"/>
  <c r="G34" i="17"/>
  <c r="H35" i="17"/>
  <c r="G35" i="17"/>
  <c r="H36" i="17"/>
  <c r="G36" i="17"/>
  <c r="H37" i="17"/>
  <c r="G37" i="17"/>
  <c r="H38" i="17"/>
  <c r="G38" i="17"/>
  <c r="H39" i="17"/>
  <c r="G39" i="17"/>
  <c r="H40" i="17"/>
  <c r="G40" i="17"/>
  <c r="I3" i="16"/>
  <c r="H3" i="16"/>
  <c r="L10" i="16"/>
  <c r="K10" i="16"/>
  <c r="L11" i="16"/>
  <c r="K11" i="16"/>
  <c r="L12" i="16"/>
  <c r="K12" i="16"/>
  <c r="L13" i="16"/>
  <c r="K13" i="16"/>
  <c r="L14" i="16"/>
  <c r="K14" i="16"/>
  <c r="L15" i="16"/>
  <c r="K15" i="16"/>
  <c r="L16" i="16"/>
  <c r="K16" i="16"/>
  <c r="L17" i="16"/>
  <c r="K17" i="16"/>
  <c r="L18" i="16"/>
  <c r="K18" i="16"/>
  <c r="L19" i="16"/>
  <c r="K19" i="16"/>
  <c r="L20" i="16"/>
  <c r="K20" i="16"/>
  <c r="H35" i="16"/>
  <c r="G35" i="16"/>
  <c r="H36" i="16"/>
  <c r="G36" i="16"/>
  <c r="H37" i="16"/>
  <c r="G37" i="16"/>
  <c r="H38" i="16"/>
  <c r="G38" i="16"/>
  <c r="H39" i="16"/>
  <c r="G39" i="16"/>
  <c r="H40" i="16"/>
  <c r="G40" i="16"/>
  <c r="H41" i="16"/>
  <c r="G41" i="16"/>
  <c r="H42" i="16"/>
  <c r="G42" i="16"/>
  <c r="G3" i="15"/>
  <c r="H3" i="15"/>
  <c r="I3" i="15"/>
  <c r="L10" i="15"/>
  <c r="K10" i="15"/>
  <c r="L11" i="15"/>
  <c r="K11" i="15"/>
  <c r="L12" i="15"/>
  <c r="K12" i="15"/>
  <c r="L13" i="15"/>
  <c r="K13" i="15"/>
  <c r="L14" i="15"/>
  <c r="K14" i="15"/>
  <c r="L15" i="15"/>
  <c r="K15" i="15"/>
  <c r="L16" i="15"/>
  <c r="K16" i="15"/>
  <c r="L17" i="15"/>
  <c r="K17" i="15"/>
  <c r="L18" i="15"/>
  <c r="K18" i="15"/>
  <c r="L19" i="15"/>
  <c r="K19" i="15"/>
  <c r="H34" i="15"/>
  <c r="G34" i="15"/>
  <c r="H35" i="15"/>
  <c r="G35" i="15"/>
  <c r="H36" i="15"/>
  <c r="G36" i="15"/>
  <c r="H37" i="15"/>
  <c r="G37" i="15"/>
  <c r="H38" i="15"/>
  <c r="G38" i="15"/>
  <c r="H39" i="15"/>
  <c r="G39" i="15"/>
  <c r="H40" i="15"/>
  <c r="G40" i="15"/>
  <c r="H41" i="15"/>
  <c r="G41" i="15"/>
  <c r="I3" i="14"/>
  <c r="H3" i="14"/>
  <c r="G3" i="14"/>
  <c r="L9" i="14"/>
  <c r="K9" i="14"/>
  <c r="L10" i="14"/>
  <c r="K10" i="14"/>
  <c r="L11" i="14"/>
  <c r="K11" i="14"/>
  <c r="L12" i="14"/>
  <c r="K12" i="14"/>
  <c r="L13" i="14"/>
  <c r="K13" i="14"/>
  <c r="L14" i="14"/>
  <c r="K14" i="14"/>
  <c r="L15" i="14"/>
  <c r="K15" i="14"/>
  <c r="L16" i="14"/>
  <c r="K16" i="14"/>
  <c r="L17" i="14"/>
  <c r="K17" i="14"/>
  <c r="L18" i="14"/>
  <c r="K18" i="14"/>
  <c r="H33" i="14"/>
  <c r="G33" i="14"/>
  <c r="H34" i="14"/>
  <c r="G34" i="14"/>
  <c r="H35" i="14"/>
  <c r="G35" i="14"/>
  <c r="H36" i="14"/>
  <c r="G36" i="14"/>
  <c r="H37" i="14"/>
  <c r="G37" i="14"/>
  <c r="H38" i="14"/>
  <c r="G38" i="14"/>
  <c r="H39" i="14"/>
  <c r="G39" i="14"/>
  <c r="H40" i="14"/>
  <c r="G40" i="14"/>
  <c r="I3" i="13"/>
  <c r="H3" i="13"/>
  <c r="G3" i="13"/>
  <c r="L9" i="13"/>
  <c r="K9" i="13"/>
  <c r="L10" i="13"/>
  <c r="K10" i="13"/>
  <c r="L11" i="13"/>
  <c r="K11" i="13"/>
  <c r="L12" i="13"/>
  <c r="K12" i="13"/>
  <c r="L13" i="13"/>
  <c r="K13" i="13"/>
  <c r="L14" i="13"/>
  <c r="K14" i="13"/>
  <c r="L15" i="13"/>
  <c r="K15" i="13"/>
  <c r="L16" i="13"/>
  <c r="K16" i="13"/>
  <c r="L17" i="13"/>
  <c r="K17" i="13"/>
  <c r="L18" i="13"/>
  <c r="K18" i="13"/>
  <c r="H33" i="13"/>
  <c r="G33" i="13"/>
  <c r="H34" i="13"/>
  <c r="G34" i="13"/>
  <c r="H35" i="13"/>
  <c r="G35" i="13"/>
  <c r="H36" i="13"/>
  <c r="G36" i="13"/>
  <c r="H37" i="13"/>
  <c r="G37" i="13"/>
  <c r="H38" i="13"/>
  <c r="G38" i="13"/>
  <c r="H39" i="13"/>
  <c r="G39" i="13"/>
  <c r="H40" i="13"/>
  <c r="G40" i="13"/>
  <c r="I3" i="12"/>
  <c r="H3" i="12"/>
  <c r="G3" i="12"/>
  <c r="L9" i="12"/>
  <c r="K9" i="12"/>
  <c r="L10" i="12"/>
  <c r="K10" i="12"/>
  <c r="L11" i="12"/>
  <c r="K11" i="12"/>
  <c r="L12" i="12"/>
  <c r="K12" i="12"/>
  <c r="L13" i="12"/>
  <c r="K13" i="12"/>
  <c r="L14" i="12"/>
  <c r="K14" i="12"/>
  <c r="L15" i="12"/>
  <c r="K15" i="12"/>
  <c r="L16" i="12"/>
  <c r="K16" i="12"/>
  <c r="L17" i="12"/>
  <c r="K17" i="12"/>
  <c r="L18" i="12"/>
  <c r="K18" i="12"/>
  <c r="H33" i="12"/>
  <c r="G33" i="12"/>
  <c r="H34" i="12"/>
  <c r="G34" i="12"/>
  <c r="H35" i="12"/>
  <c r="G35" i="12"/>
  <c r="H36" i="12"/>
  <c r="G36" i="12"/>
  <c r="H37" i="12"/>
  <c r="G37" i="12"/>
  <c r="H38" i="12"/>
  <c r="G38" i="12"/>
  <c r="H39" i="12"/>
  <c r="G39" i="12"/>
  <c r="H40" i="12"/>
  <c r="G40" i="12"/>
  <c r="L8" i="11"/>
  <c r="K8" i="11"/>
  <c r="L9" i="11"/>
  <c r="K9" i="11"/>
  <c r="L10" i="11"/>
  <c r="K10" i="11"/>
  <c r="L11" i="11"/>
  <c r="K11" i="11"/>
  <c r="L12" i="11"/>
  <c r="K12" i="11"/>
  <c r="L13" i="11"/>
  <c r="K13" i="11"/>
  <c r="L14" i="11"/>
  <c r="K14" i="11"/>
  <c r="L15" i="11"/>
  <c r="K15" i="11"/>
  <c r="L16" i="11"/>
  <c r="K16" i="11"/>
  <c r="L17" i="11"/>
  <c r="K17" i="11"/>
  <c r="G24" i="17" l="1"/>
  <c r="H24" i="17"/>
  <c r="G26" i="16"/>
  <c r="H26" i="16"/>
  <c r="G25" i="15"/>
  <c r="H25" i="15"/>
  <c r="G24" i="14"/>
  <c r="H24" i="14"/>
  <c r="G24" i="13"/>
  <c r="H24" i="13"/>
  <c r="G24" i="12"/>
  <c r="H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Administracion</author>
    <author>Tecnico Servicios Valser</author>
  </authors>
  <commentList>
    <comment ref="I29" authorId="0" shapeId="0" xr:uid="{404E96B7-2217-42ED-81D5-4187A6B17F68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POCO USO</t>
        </r>
      </text>
    </comment>
    <comment ref="I30" authorId="1" shapeId="0" xr:uid="{7D001DE6-F84A-4C5B-AF48-3F98F989BD5B}">
      <text>
        <r>
          <rPr>
            <sz val="11"/>
            <color theme="1"/>
            <rFont val="Calibri"/>
            <family val="2"/>
            <scheme val="minor"/>
          </rPr>
          <t>Tecnico Servicios Valser:
Poco Uso</t>
        </r>
      </text>
    </comment>
    <comment ref="I35" authorId="0" shapeId="0" xr:uid="{CCA76CD2-1317-495E-9AAD-373B8400DB3E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POCO USO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Comercial</author>
  </authors>
  <commentList>
    <comment ref="D23" authorId="0" shapeId="0" xr:uid="{8930B12C-E408-4C29-8BE1-40548515C631}">
      <text>
        <r>
          <rPr>
            <b/>
            <sz val="9"/>
            <color indexed="81"/>
            <rFont val="Tahoma"/>
            <family val="2"/>
          </rPr>
          <t>Comercial:</t>
        </r>
        <r>
          <rPr>
            <sz val="9"/>
            <color indexed="81"/>
            <rFont val="Tahoma"/>
            <family val="2"/>
          </rPr>
          <t xml:space="preserve">
Comprobación extraordinaria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Comercial</author>
  </authors>
  <commentList>
    <comment ref="D49" authorId="0" shapeId="0" xr:uid="{B4D47C73-8DE4-4A0A-8DD3-8360A7B2BBEB}">
      <text>
        <r>
          <rPr>
            <b/>
            <sz val="9"/>
            <color indexed="81"/>
            <rFont val="Tahoma"/>
            <family val="2"/>
          </rPr>
          <t>Comercial:</t>
        </r>
        <r>
          <rPr>
            <sz val="9"/>
            <color indexed="81"/>
            <rFont val="Tahoma"/>
            <family val="2"/>
          </rPr>
          <t xml:space="preserve">
Sin tarar</t>
        </r>
      </text>
    </comment>
    <comment ref="E49" authorId="0" shapeId="0" xr:uid="{EE146CD6-AA3A-4B8A-89AA-7BD72F5C843D}">
      <text>
        <r>
          <rPr>
            <b/>
            <sz val="9"/>
            <color indexed="81"/>
            <rFont val="Tahoma"/>
            <family val="2"/>
          </rPr>
          <t>Comercial:</t>
        </r>
        <r>
          <rPr>
            <sz val="9"/>
            <color indexed="81"/>
            <rFont val="Tahoma"/>
            <family val="2"/>
          </rPr>
          <t xml:space="preserve">
Sin tarar</t>
        </r>
      </text>
    </comment>
  </commentList>
</comments>
</file>

<file path=xl/sharedStrings.xml><?xml version="1.0" encoding="utf-8"?>
<sst xmlns="http://schemas.openxmlformats.org/spreadsheetml/2006/main" count="1124" uniqueCount="270">
  <si>
    <t>CONTROL CALIBRACIÓN EQUIPOS E INSTRUMENTOS</t>
  </si>
  <si>
    <t>CODIGO</t>
  </si>
  <si>
    <t>OYS-FO-42</t>
  </si>
  <si>
    <t>VERSION</t>
  </si>
  <si>
    <t>05</t>
  </si>
  <si>
    <t>FECHA</t>
  </si>
  <si>
    <t>Fecha de actualización</t>
  </si>
  <si>
    <t>PLANTA</t>
  </si>
  <si>
    <t>IDENTIFICACIÓN</t>
  </si>
  <si>
    <t>EQUIPO  /  INSTRUMENTO</t>
  </si>
  <si>
    <t>FABRICANTE</t>
  </si>
  <si>
    <t xml:space="preserve">CERTIFICADO No. </t>
  </si>
  <si>
    <t>MODELO</t>
  </si>
  <si>
    <t xml:space="preserve">SERIE </t>
  </si>
  <si>
    <t>FECHA DE CALIBRACION</t>
  </si>
  <si>
    <t>FECHA PROXIMA CALIBRACIÓN</t>
  </si>
  <si>
    <t>ESTADO
CALIBRACIÓN</t>
  </si>
  <si>
    <t>ESTADO FíSICO</t>
  </si>
  <si>
    <t>CERTIFICADOR</t>
  </si>
  <si>
    <t>RANGO</t>
  </si>
  <si>
    <t>ESTADO</t>
  </si>
  <si>
    <t>MAN-001</t>
  </si>
  <si>
    <t>MANÓMETRO DIGITAL</t>
  </si>
  <si>
    <t>CRYSTAL</t>
  </si>
  <si>
    <t>MIS-LP-2025-01-0214</t>
  </si>
  <si>
    <t>XP2i</t>
  </si>
  <si>
    <t>BUENO</t>
  </si>
  <si>
    <t>METROLOGY</t>
  </si>
  <si>
    <t>0-3000 psi</t>
  </si>
  <si>
    <t>MAN-002</t>
  </si>
  <si>
    <t>ADDITEL</t>
  </si>
  <si>
    <t>MIS-LP-2024-12-1761</t>
  </si>
  <si>
    <t>211H200A0024</t>
  </si>
  <si>
    <t>MAN-003</t>
  </si>
  <si>
    <t>AMETEK CRYSTAL</t>
  </si>
  <si>
    <t>MIS-LP-2024-12-1618</t>
  </si>
  <si>
    <t>0-5000 psi</t>
  </si>
  <si>
    <t>MAN-004</t>
  </si>
  <si>
    <t>MANÓMETRO Y TRANSMISOR DE BAJA PRESIÓN</t>
  </si>
  <si>
    <t>SIEMENS</t>
  </si>
  <si>
    <t>MIS-LP-2024-1440</t>
  </si>
  <si>
    <t>D-76181</t>
  </si>
  <si>
    <t>N1-T503-9508911</t>
  </si>
  <si>
    <t>0-3,61 psi</t>
  </si>
  <si>
    <t>MAN-005</t>
  </si>
  <si>
    <t>FLEXILATINA</t>
  </si>
  <si>
    <t>0-1000 psi</t>
  </si>
  <si>
    <t>MAN-006</t>
  </si>
  <si>
    <t>WIKA</t>
  </si>
  <si>
    <t>N/A</t>
  </si>
  <si>
    <t>FLX-001</t>
  </si>
  <si>
    <t>FLEXÓMETRO</t>
  </si>
  <si>
    <t>TRUPER</t>
  </si>
  <si>
    <t>CD-10090</t>
  </si>
  <si>
    <t>FH-5M</t>
  </si>
  <si>
    <t>UK 0126 0022</t>
  </si>
  <si>
    <t>METROTEST</t>
  </si>
  <si>
    <t>5m</t>
  </si>
  <si>
    <t>PDR-001</t>
  </si>
  <si>
    <t xml:space="preserve">PIE DE REY DIGITAL </t>
  </si>
  <si>
    <t>INSIZE</t>
  </si>
  <si>
    <t>CD-10088</t>
  </si>
  <si>
    <t>1108-200</t>
  </si>
  <si>
    <t>0-200 mm</t>
  </si>
  <si>
    <t>PDR-002</t>
  </si>
  <si>
    <t>MITUTOYO</t>
  </si>
  <si>
    <t>CD-10089</t>
  </si>
  <si>
    <t>CD-6" CSX-B</t>
  </si>
  <si>
    <t>BH010822</t>
  </si>
  <si>
    <t>0-150 mm</t>
  </si>
  <si>
    <t>THB-001</t>
  </si>
  <si>
    <t>TERMOHIGROBAROMETRO</t>
  </si>
  <si>
    <t>TESTO</t>
  </si>
  <si>
    <t xml:space="preserve">HR-4914-25 // TE-8606-25 </t>
  </si>
  <si>
    <t>39536692/0323</t>
  </si>
  <si>
    <t>VALMET L&amp;M</t>
  </si>
  <si>
    <t>0-100% // -20°C a 60°C</t>
  </si>
  <si>
    <t xml:space="preserve"> MET-LP-CC 12662</t>
  </si>
  <si>
    <t>METROLABOR</t>
  </si>
  <si>
    <t xml:space="preserve"> 300 hPa a 1200 hPa</t>
  </si>
  <si>
    <t>THB-002</t>
  </si>
  <si>
    <t>TERMOHIGROMETRO</t>
  </si>
  <si>
    <t>KEX GERMANY</t>
  </si>
  <si>
    <t xml:space="preserve">HR-28703 // TA-28702 </t>
  </si>
  <si>
    <t>SH-172</t>
  </si>
  <si>
    <t>FYH</t>
  </si>
  <si>
    <t>10-90% // -50°C a 70°C</t>
  </si>
  <si>
    <t>VST2</t>
  </si>
  <si>
    <t>CALIBRACIÓN</t>
  </si>
  <si>
    <t>CEC-005</t>
  </si>
  <si>
    <t>DINAMOMETRO</t>
  </si>
  <si>
    <t>TRUMAX</t>
  </si>
  <si>
    <t>SC-2,5Klb // VST3000</t>
  </si>
  <si>
    <t>2301129900 // V00220</t>
  </si>
  <si>
    <t>SERVINTEGRAL</t>
  </si>
  <si>
    <t>2500 lb-f</t>
  </si>
  <si>
    <t>CEC-006</t>
  </si>
  <si>
    <t>VALSER / TEK</t>
  </si>
  <si>
    <t>516 2 t // VST3000</t>
  </si>
  <si>
    <t>17080195 // V00220</t>
  </si>
  <si>
    <t>4400 lb-f</t>
  </si>
  <si>
    <t>CEC-007</t>
  </si>
  <si>
    <t>SG-5T</t>
  </si>
  <si>
    <t>9920 lb-f</t>
  </si>
  <si>
    <t>TP-008</t>
  </si>
  <si>
    <t>TRANSMISOR DE PRESION CON INDICACION DIGITAL</t>
  </si>
  <si>
    <t>DANFOSS</t>
  </si>
  <si>
    <t>MBS3000</t>
  </si>
  <si>
    <t>051950519282</t>
  </si>
  <si>
    <t>0-870 psi</t>
  </si>
  <si>
    <t>TP-009</t>
  </si>
  <si>
    <t>0-3625 psi</t>
  </si>
  <si>
    <t>VST3</t>
  </si>
  <si>
    <t>CEC-001</t>
  </si>
  <si>
    <t>SA-1Klb</t>
  </si>
  <si>
    <t>J181015117</t>
  </si>
  <si>
    <t>950 lb-f</t>
  </si>
  <si>
    <t>CEC-002</t>
  </si>
  <si>
    <t>GALOCE</t>
  </si>
  <si>
    <t>G55406</t>
  </si>
  <si>
    <t>20110066/VST1</t>
  </si>
  <si>
    <t>CEC-004</t>
  </si>
  <si>
    <t>BBG</t>
  </si>
  <si>
    <t>TSC // VST3000</t>
  </si>
  <si>
    <t>2200 lb-f</t>
  </si>
  <si>
    <t>CEC-003</t>
  </si>
  <si>
    <t>SC-5Klb // VST3000</t>
  </si>
  <si>
    <t>M190927007</t>
  </si>
  <si>
    <t>5000 lb-f</t>
  </si>
  <si>
    <t>TP-004</t>
  </si>
  <si>
    <t>0-145 psi</t>
  </si>
  <si>
    <t>TP-001</t>
  </si>
  <si>
    <t>RITHERM</t>
  </si>
  <si>
    <t>MALO</t>
  </si>
  <si>
    <t>TP-002</t>
  </si>
  <si>
    <t>APLISENS</t>
  </si>
  <si>
    <t>PCE-28</t>
  </si>
  <si>
    <t>TP-003</t>
  </si>
  <si>
    <t>SINTEK</t>
  </si>
  <si>
    <t>PLAB-23-480</t>
  </si>
  <si>
    <t>-</t>
  </si>
  <si>
    <t>NPIR-23-155</t>
  </si>
  <si>
    <t>0-15000 psi</t>
  </si>
  <si>
    <t>INTRUMENTO</t>
  </si>
  <si>
    <t>MARCA</t>
  </si>
  <si>
    <t>SERIAL</t>
  </si>
  <si>
    <t>FECHA DE CALIBRACIÓN</t>
  </si>
  <si>
    <t>PATRÓN</t>
  </si>
  <si>
    <t>DATOS Y RESULTADOS DE LA CALIBRACIÓN</t>
  </si>
  <si>
    <t>VALOR PATRÓN (psi)</t>
  </si>
  <si>
    <t>VALOR IBV (psi)</t>
  </si>
  <si>
    <t>ERROR (psi)</t>
  </si>
  <si>
    <t>INCERTIDUMBRE</t>
  </si>
  <si>
    <t>Error permitido 
(+- psi)</t>
  </si>
  <si>
    <t>COMENTARIOS</t>
  </si>
  <si>
    <t>Superior</t>
  </si>
  <si>
    <t>Inferior</t>
  </si>
  <si>
    <t>PRESIÓN ATMOSFERICA (hPa)</t>
  </si>
  <si>
    <t>HUMEDAD RELATIVA (%)</t>
  </si>
  <si>
    <t>ENTE CERTIFICADOR</t>
  </si>
  <si>
    <t>Metrology</t>
  </si>
  <si>
    <t>Después de que el equipo llega, se confirma que calibrando con un tiempo calendario de 1 año, el equipo sigue cumpliendo con las especificaiones requeridas, por lo cual se mantiene el periodo de un año según lo establecido en la OIML 10 método 1</t>
  </si>
  <si>
    <t>FECHA PROGRAMADA DE COMPROBACIÓN 1</t>
  </si>
  <si>
    <t>FECHA PROGRAMADA DE COMPROBACIÓN 2</t>
  </si>
  <si>
    <t>FECHA PROGRAMADA DE COMPROBACIÓN 3</t>
  </si>
  <si>
    <t>INDICE BAJO VERIFICACIÓN (IBV)</t>
  </si>
  <si>
    <t>TEMPERATURA (°C)</t>
  </si>
  <si>
    <t>Flexilatina</t>
  </si>
  <si>
    <t>DATOS Y RESULTADOS DE LAS COMPROBACIONES</t>
  </si>
  <si>
    <t>Fecha</t>
  </si>
  <si>
    <t>Responsable</t>
  </si>
  <si>
    <t>Andrés Felipe Ovalle</t>
  </si>
  <si>
    <t>Wilder Alberto Suarez</t>
  </si>
  <si>
    <t>VALOR COMPROBACIÓN 1 (psi)</t>
  </si>
  <si>
    <t>VALOR COMPROBACIÓN 2 (psi)</t>
  </si>
  <si>
    <t>VALOR COMPROBACIÓN 3 (psi)</t>
  </si>
  <si>
    <t>COMENTARIO COMPROBACIÓN 1</t>
  </si>
  <si>
    <t>COMENTARIO COMPROBACIÓN 2</t>
  </si>
  <si>
    <t>Error Máximo permitido (psi)</t>
  </si>
  <si>
    <t>ERROR O</t>
  </si>
  <si>
    <t xml:space="preserve">ERROR 1 </t>
  </si>
  <si>
    <t>ERROR 2</t>
  </si>
  <si>
    <t>DIFERENCIA ERROR 
0-1</t>
  </si>
  <si>
    <t>DIFERENCIA ERROR 
0-2</t>
  </si>
  <si>
    <t>Carlos Alberto Suarez</t>
  </si>
  <si>
    <t>FECHA PROGRAMADA PARA REGISTRO INICIAL</t>
  </si>
  <si>
    <t>FECHA PROGRAMADA COMPROBACIÓN 1</t>
  </si>
  <si>
    <t>FECHA PROGRAMADA COMPROBACIÓN 2</t>
  </si>
  <si>
    <t>ERROR (PSI)</t>
  </si>
  <si>
    <r>
      <t>Error máximo permitido (</t>
    </r>
    <r>
      <rPr>
        <u/>
        <sz val="11"/>
        <color theme="0"/>
        <rFont val="Calibri"/>
        <family val="2"/>
      </rPr>
      <t>±</t>
    </r>
    <r>
      <rPr>
        <u/>
        <sz val="11"/>
        <color theme="0"/>
        <rFont val="Calibri"/>
        <family val="2"/>
        <scheme val="minor"/>
      </rPr>
      <t>psi)</t>
    </r>
  </si>
  <si>
    <t>VALOR REGISTRO INICIAL (psi)</t>
  </si>
  <si>
    <t>Validación de software</t>
  </si>
  <si>
    <t>Registro inicial</t>
  </si>
  <si>
    <t>X</t>
  </si>
  <si>
    <t>Corrección</t>
  </si>
  <si>
    <t>Corrección curva</t>
  </si>
  <si>
    <t>Valor VST</t>
  </si>
  <si>
    <t>Valor curva</t>
  </si>
  <si>
    <t>Comprobación 1</t>
  </si>
  <si>
    <t>Comprobación 2</t>
  </si>
  <si>
    <t>ERROR 0</t>
  </si>
  <si>
    <t>Corrección VST</t>
  </si>
  <si>
    <t>APPLISENS</t>
  </si>
  <si>
    <t xml:space="preserve">BÁSCULA </t>
  </si>
  <si>
    <t>OCS-XZ-ST Accuracy</t>
  </si>
  <si>
    <t>RL1906915</t>
  </si>
  <si>
    <t>TRUMAX // VALSER</t>
  </si>
  <si>
    <t>DATOS Y RESULTADOS DE LA COMPROBACIÓN (2500 lb-f)</t>
  </si>
  <si>
    <t>VALOR PATRÓN
(kg-f)</t>
  </si>
  <si>
    <t>VALOR PATRÓN
(lb-f)</t>
  </si>
  <si>
    <t>VALOR INDICADOR VST (lb-f) REGISTRO INICIAL</t>
  </si>
  <si>
    <t>VALOR INDICADOR VST (lb-f) COMPROBACIÓN 1</t>
  </si>
  <si>
    <t>ERROR (lb-f)</t>
  </si>
  <si>
    <t>Error permitido (lb-f)</t>
  </si>
  <si>
    <t>Servintegral</t>
  </si>
  <si>
    <t>TEK // VALSER</t>
  </si>
  <si>
    <t>DATOS Y RESULTADOS DE LA COMPROBACIÓN (4400 lb-f)</t>
  </si>
  <si>
    <t>DATOS Y RESULTADOS DE LA COMPROBACIÓN (9940 lb-f)</t>
  </si>
  <si>
    <t>BÁSCULA TRUMAX</t>
  </si>
  <si>
    <t>XENIT</t>
  </si>
  <si>
    <t>YS172343</t>
  </si>
  <si>
    <t>SA-1Klb // VST3000</t>
  </si>
  <si>
    <t>DATOS Y RESULTADOS DE LA VERIFICACIÓN (950 lb-f)</t>
  </si>
  <si>
    <t>DATOS Y RESULTADOS DE LA VERIFICACIÓN (2200 lb-f)</t>
  </si>
  <si>
    <t xml:space="preserve">TRUMAX </t>
  </si>
  <si>
    <t>DATOS Y RESULTADOS DE LA VERIFICACIÓN (5000 lb-f)</t>
  </si>
  <si>
    <t>Andrés Felipe Ovvale</t>
  </si>
  <si>
    <t>DERIVA INSTRUMENTOS AÑO A AÑO</t>
  </si>
  <si>
    <t>Additel</t>
  </si>
  <si>
    <t>Momento 0</t>
  </si>
  <si>
    <t>Año 1</t>
  </si>
  <si>
    <t>Crystal 1K</t>
  </si>
  <si>
    <t>Crystal 5K</t>
  </si>
  <si>
    <t>04</t>
  </si>
  <si>
    <t>OBSOLETOS</t>
  </si>
  <si>
    <t>FECHA DE SALIDA</t>
  </si>
  <si>
    <t>TP-006</t>
  </si>
  <si>
    <t>MIS-LP-2023-0462</t>
  </si>
  <si>
    <t>0-3625 PSI</t>
  </si>
  <si>
    <t>TP-007</t>
  </si>
  <si>
    <t>PLAB-23-479</t>
  </si>
  <si>
    <t>NPIR-23-154</t>
  </si>
  <si>
    <t>0-1000 PSI</t>
  </si>
  <si>
    <t>CONTROL DE CAMBIOS</t>
  </si>
  <si>
    <t>VERSIÓN</t>
  </si>
  <si>
    <t>DESCRIPCIÓN</t>
  </si>
  <si>
    <t>AUTOR</t>
  </si>
  <si>
    <t>01</t>
  </si>
  <si>
    <t>Creación del documento</t>
  </si>
  <si>
    <t>Andres Felipe Ovalle Ortiz
Asesor Comercial</t>
  </si>
  <si>
    <t>02</t>
  </si>
  <si>
    <t>Cambio estructura formato</t>
  </si>
  <si>
    <t>03</t>
  </si>
  <si>
    <t>Se agregan los verificaciones internas para controlar los manómetros de presión, adicionalmente de agregan etiquetas para la identificación de los equipos</t>
  </si>
  <si>
    <t>Se integro otra hoja para evaluar la deriva de los manómetros, adicional se modificó la estructura de las verificaciones y se añadieron la información completa de todos los equipos comprados a la fecha</t>
  </si>
  <si>
    <t>Se adiciono columna de estado fisico y estado donde se implemento el sistema de semaforo.</t>
  </si>
  <si>
    <t xml:space="preserve">Wilder Alberto </t>
  </si>
  <si>
    <t>CONTROL DE REVISIONES</t>
  </si>
  <si>
    <t>ELABORADO POR</t>
  </si>
  <si>
    <t>REVISADO POR</t>
  </si>
  <si>
    <t>APROBADO POR</t>
  </si>
  <si>
    <t>Nombre:</t>
  </si>
  <si>
    <t>Andres Felipe Ovalle Ortiz</t>
  </si>
  <si>
    <t>Maria de Jesus Mora Gomez</t>
  </si>
  <si>
    <t>Carlos Alberto Suarez Franco</t>
  </si>
  <si>
    <t>Cargo:</t>
  </si>
  <si>
    <t>Asesor Comercial</t>
  </si>
  <si>
    <t>Directora administrativa y financiera</t>
  </si>
  <si>
    <t>Gerente General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</si>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</sst>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%"/>
    <numFmt numFmtId="166" formatCode="0.0"/>
    <numFmt numFmtId="167" formatCode="0.0%"/>
  </numFmts>
  <fonts count="3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Prompt"/>
    </font>
    <font>
      <b/>
      <sz val="10"/>
      <name val="Prompt"/>
    </font>
    <font>
      <sz val="10"/>
      <name val="Arial Rounded MT Bold"/>
      <family val="2"/>
    </font>
    <font>
      <b/>
      <sz val="10"/>
      <color theme="1"/>
      <name val="Prompt"/>
    </font>
    <font>
      <sz val="10"/>
      <color theme="1"/>
      <name val="Arial Rounded MT Bold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Aptos Display"/>
      <family val="2"/>
    </font>
    <font>
      <b/>
      <sz val="14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Prompt"/>
    </font>
    <font>
      <b/>
      <sz val="9"/>
      <color theme="1"/>
      <name val="Prompt"/>
    </font>
    <font>
      <sz val="9"/>
      <color theme="1"/>
      <name val="Arial Rounded MT Bold"/>
      <family val="2"/>
    </font>
    <font>
      <sz val="9"/>
      <name val="Arial Rounded MT Bold"/>
      <family val="2"/>
    </font>
    <font>
      <b/>
      <sz val="12"/>
      <color rgb="FF0D780C"/>
      <name val="Prompt"/>
    </font>
    <font>
      <sz val="12"/>
      <color rgb="FF0D780C"/>
      <name val="Prompt"/>
    </font>
    <font>
      <b/>
      <sz val="9"/>
      <color rgb="FFFFFFFF"/>
      <name val="Prompt"/>
    </font>
    <font>
      <b/>
      <sz val="10"/>
      <color rgb="FFFFFFFF"/>
      <name val="Prompt"/>
    </font>
    <font>
      <b/>
      <sz val="9"/>
      <color rgb="FF0D780C"/>
      <name val="Prompt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2"/>
      <color rgb="FFFF0000"/>
      <name val="Aptos Display"/>
      <family val="2"/>
    </font>
    <font>
      <u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6AD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D6F0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rgb="FF0D6F0C"/>
      </left>
      <right style="medium">
        <color rgb="FF0D6F0C"/>
      </right>
      <top style="medium">
        <color rgb="FF0D6F0C"/>
      </top>
      <bottom style="medium">
        <color rgb="FF0D6F0C"/>
      </bottom>
      <diagonal/>
    </border>
    <border>
      <left style="medium">
        <color rgb="FF0D6F0C"/>
      </left>
      <right style="medium">
        <color rgb="FF0D6F0C"/>
      </right>
      <top style="medium">
        <color rgb="FF0D6F0C"/>
      </top>
      <bottom/>
      <diagonal/>
    </border>
    <border>
      <left style="medium">
        <color rgb="FF0D6F0C"/>
      </left>
      <right style="medium">
        <color rgb="FF0D6F0C"/>
      </right>
      <top/>
      <bottom/>
      <diagonal/>
    </border>
    <border>
      <left style="medium">
        <color rgb="FF0D6F0C"/>
      </left>
      <right style="medium">
        <color rgb="FF0D6F0C"/>
      </right>
      <top/>
      <bottom style="medium">
        <color rgb="FF0D6F0C"/>
      </bottom>
      <diagonal/>
    </border>
    <border>
      <left style="medium">
        <color rgb="FF0D6F0C"/>
      </left>
      <right/>
      <top style="medium">
        <color rgb="FF0D6F0C"/>
      </top>
      <bottom/>
      <diagonal/>
    </border>
    <border>
      <left/>
      <right/>
      <top style="medium">
        <color rgb="FF0D6F0C"/>
      </top>
      <bottom/>
      <diagonal/>
    </border>
    <border>
      <left/>
      <right style="medium">
        <color rgb="FF0D6F0C"/>
      </right>
      <top style="medium">
        <color rgb="FF0D6F0C"/>
      </top>
      <bottom/>
      <diagonal/>
    </border>
    <border>
      <left style="medium">
        <color rgb="FF0D6F0C"/>
      </left>
      <right/>
      <top/>
      <bottom style="medium">
        <color rgb="FF0D6F0C"/>
      </bottom>
      <diagonal/>
    </border>
    <border>
      <left/>
      <right/>
      <top/>
      <bottom style="medium">
        <color rgb="FF0D6F0C"/>
      </bottom>
      <diagonal/>
    </border>
    <border>
      <left/>
      <right style="medium">
        <color rgb="FF0D6F0C"/>
      </right>
      <top/>
      <bottom style="medium">
        <color rgb="FF0D6F0C"/>
      </bottom>
      <diagonal/>
    </border>
    <border>
      <left style="medium">
        <color rgb="FF0D6F0C"/>
      </left>
      <right/>
      <top style="medium">
        <color rgb="FF0D6F0C"/>
      </top>
      <bottom style="medium">
        <color rgb="FF0D6F0C"/>
      </bottom>
      <diagonal/>
    </border>
    <border>
      <left/>
      <right style="medium">
        <color rgb="FF0D6F0C"/>
      </right>
      <top style="medium">
        <color rgb="FF0D6F0C"/>
      </top>
      <bottom style="medium">
        <color rgb="FF0D6F0C"/>
      </bottom>
      <diagonal/>
    </border>
    <border>
      <left style="medium">
        <color rgb="FF0D6F0C"/>
      </left>
      <right style="thin">
        <color rgb="FF0D6F0C"/>
      </right>
      <top style="medium">
        <color rgb="FF0D6F0C"/>
      </top>
      <bottom style="medium">
        <color rgb="FF0D6F0C"/>
      </bottom>
      <diagonal/>
    </border>
    <border>
      <left style="thin">
        <color rgb="FF0D6F0C"/>
      </left>
      <right style="thin">
        <color rgb="FF0D6F0C"/>
      </right>
      <top style="medium">
        <color rgb="FF0D6F0C"/>
      </top>
      <bottom style="medium">
        <color rgb="FF0D6F0C"/>
      </bottom>
      <diagonal/>
    </border>
    <border>
      <left style="thin">
        <color rgb="FF0D6F0C"/>
      </left>
      <right style="medium">
        <color rgb="FF0D6F0C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D780C"/>
      </left>
      <right style="medium">
        <color rgb="FFFFFFFF"/>
      </right>
      <top style="thick">
        <color rgb="FF0D780C"/>
      </top>
      <bottom style="thick">
        <color rgb="FF0D780C"/>
      </bottom>
      <diagonal/>
    </border>
    <border>
      <left/>
      <right style="medium">
        <color rgb="FFFFFFFF"/>
      </right>
      <top style="thick">
        <color rgb="FF0D780C"/>
      </top>
      <bottom style="thick">
        <color rgb="FF0D780C"/>
      </bottom>
      <diagonal/>
    </border>
    <border>
      <left style="medium">
        <color rgb="FFFFFFFF"/>
      </left>
      <right/>
      <top/>
      <bottom/>
      <diagonal/>
    </border>
    <border>
      <left style="thick">
        <color rgb="FF0D780C"/>
      </left>
      <right style="medium">
        <color rgb="FF0D780C"/>
      </right>
      <top/>
      <bottom style="medium">
        <color rgb="FF0D780C"/>
      </bottom>
      <diagonal/>
    </border>
    <border>
      <left/>
      <right/>
      <top/>
      <bottom style="medium">
        <color rgb="FF0D780C"/>
      </bottom>
      <diagonal/>
    </border>
    <border>
      <left style="medium">
        <color rgb="FF0D6F0C"/>
      </left>
      <right style="thin">
        <color indexed="64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thin">
        <color indexed="64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medium">
        <color rgb="FF0D6F0C"/>
      </right>
      <top style="medium">
        <color rgb="FF0D6F0C"/>
      </top>
      <bottom style="medium">
        <color rgb="FF0D6F0C"/>
      </bottom>
      <diagonal/>
    </border>
    <border>
      <left style="thick">
        <color rgb="FF0D780C"/>
      </left>
      <right/>
      <top/>
      <bottom/>
      <diagonal/>
    </border>
    <border>
      <left style="thick">
        <color rgb="FF0D780C"/>
      </left>
      <right/>
      <top style="thick">
        <color rgb="FF0D780C"/>
      </top>
      <bottom style="thick">
        <color rgb="FF0D780C"/>
      </bottom>
      <diagonal/>
    </border>
    <border>
      <left/>
      <right style="medium">
        <color rgb="FF0D780C"/>
      </right>
      <top style="thick">
        <color rgb="FF0D780C"/>
      </top>
      <bottom style="thick">
        <color rgb="FF0D780C"/>
      </bottom>
      <diagonal/>
    </border>
    <border>
      <left style="medium">
        <color rgb="FF0D780C"/>
      </left>
      <right/>
      <top style="thick">
        <color rgb="FF0D780C"/>
      </top>
      <bottom style="thick">
        <color rgb="FF0D780C"/>
      </bottom>
      <diagonal/>
    </border>
    <border>
      <left/>
      <right/>
      <top style="thick">
        <color rgb="FF0D780C"/>
      </top>
      <bottom style="thick">
        <color rgb="FF0D780C"/>
      </bottom>
      <diagonal/>
    </border>
    <border>
      <left style="medium">
        <color rgb="FF0D6F0C"/>
      </left>
      <right style="thin">
        <color indexed="64"/>
      </right>
      <top/>
      <bottom style="medium">
        <color rgb="FF0D6F0C"/>
      </bottom>
      <diagonal/>
    </border>
    <border>
      <left style="thin">
        <color indexed="64"/>
      </left>
      <right style="thin">
        <color indexed="64"/>
      </right>
      <top/>
      <bottom style="medium">
        <color rgb="FF0D6F0C"/>
      </bottom>
      <diagonal/>
    </border>
    <border>
      <left style="thin">
        <color indexed="64"/>
      </left>
      <right style="medium">
        <color rgb="FF0D6F0C"/>
      </right>
      <top/>
      <bottom style="medium">
        <color rgb="FF0D6F0C"/>
      </bottom>
      <diagonal/>
    </border>
    <border>
      <left/>
      <right style="medium">
        <color rgb="FF0D780C"/>
      </right>
      <top/>
      <bottom style="medium">
        <color rgb="FF0D780C"/>
      </bottom>
      <diagonal/>
    </border>
    <border>
      <left/>
      <right style="thick">
        <color rgb="FF0D780C"/>
      </right>
      <top/>
      <bottom style="medium">
        <color rgb="FF0D780C"/>
      </bottom>
      <diagonal/>
    </border>
    <border>
      <left style="thick">
        <color rgb="FF0D780C"/>
      </left>
      <right style="medium">
        <color rgb="FF0D780C"/>
      </right>
      <top/>
      <bottom style="thick">
        <color rgb="FF0D780C"/>
      </bottom>
      <diagonal/>
    </border>
    <border>
      <left/>
      <right style="medium">
        <color rgb="FF0D780C"/>
      </right>
      <top/>
      <bottom style="thick">
        <color rgb="FF0D780C"/>
      </bottom>
      <diagonal/>
    </border>
    <border>
      <left/>
      <right/>
      <top/>
      <bottom style="thick">
        <color rgb="FF0D780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rgb="FF0D6F0C"/>
      </left>
      <right/>
      <top/>
      <bottom/>
      <diagonal/>
    </border>
    <border>
      <left/>
      <right style="medium">
        <color rgb="FF0D6F0C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3" fillId="0" borderId="0"/>
    <xf numFmtId="9" fontId="13" fillId="0" borderId="0" applyFont="0" applyFill="0" applyBorder="0" applyAlignment="0" applyProtection="0"/>
  </cellStyleXfs>
  <cellXfs count="278">
    <xf numFmtId="0" fontId="0" fillId="0" borderId="0" xfId="0"/>
    <xf numFmtId="0" fontId="1" fillId="0" borderId="0" xfId="0" applyFont="1"/>
    <xf numFmtId="0" fontId="9" fillId="0" borderId="0" xfId="0" applyFont="1"/>
    <xf numFmtId="0" fontId="8" fillId="0" borderId="0" xfId="0" applyFont="1"/>
    <xf numFmtId="0" fontId="13" fillId="0" borderId="0" xfId="1"/>
    <xf numFmtId="0" fontId="15" fillId="0" borderId="16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49" fontId="16" fillId="0" borderId="16" xfId="1" applyNumberFormat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/>
    </xf>
    <xf numFmtId="164" fontId="17" fillId="4" borderId="16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5" borderId="17" xfId="1" applyFont="1" applyFill="1" applyBorder="1" applyAlignment="1">
      <alignment horizontal="center" vertical="center" wrapText="1"/>
    </xf>
    <xf numFmtId="0" fontId="20" fillId="5" borderId="18" xfId="1" applyFont="1" applyFill="1" applyBorder="1" applyAlignment="1">
      <alignment horizontal="center" vertical="center" wrapText="1"/>
    </xf>
    <xf numFmtId="164" fontId="7" fillId="0" borderId="20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right" vertical="center"/>
    </xf>
    <xf numFmtId="0" fontId="24" fillId="0" borderId="20" xfId="1" applyFont="1" applyBorder="1" applyAlignment="1">
      <alignment horizontal="center" vertical="center" wrapText="1"/>
    </xf>
    <xf numFmtId="0" fontId="24" fillId="0" borderId="33" xfId="1" applyFont="1" applyBorder="1" applyAlignment="1">
      <alignment horizontal="center" vertical="center" wrapText="1"/>
    </xf>
    <xf numFmtId="0" fontId="24" fillId="0" borderId="34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24" fillId="0" borderId="35" xfId="1" applyFont="1" applyBorder="1" applyAlignment="1">
      <alignment horizontal="center" vertical="center" wrapText="1"/>
    </xf>
    <xf numFmtId="164" fontId="24" fillId="0" borderId="36" xfId="1" applyNumberFormat="1" applyFont="1" applyBorder="1" applyAlignment="1">
      <alignment horizontal="center" vertical="center" wrapText="1"/>
    </xf>
    <xf numFmtId="0" fontId="24" fillId="0" borderId="36" xfId="1" applyFont="1" applyBorder="1" applyAlignment="1">
      <alignment horizontal="center" vertical="center" wrapText="1"/>
    </xf>
    <xf numFmtId="0" fontId="24" fillId="0" borderId="37" xfId="1" applyFont="1" applyBorder="1" applyAlignment="1">
      <alignment horizontal="center" vertical="center" wrapText="1"/>
    </xf>
    <xf numFmtId="0" fontId="25" fillId="0" borderId="0" xfId="1" applyFont="1"/>
    <xf numFmtId="0" fontId="12" fillId="3" borderId="16" xfId="0" applyFont="1" applyFill="1" applyBorder="1"/>
    <xf numFmtId="0" fontId="12" fillId="3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14" fontId="1" fillId="2" borderId="16" xfId="0" applyNumberFormat="1" applyFont="1" applyFill="1" applyBorder="1" applyAlignment="1">
      <alignment horizontal="center"/>
    </xf>
    <xf numFmtId="0" fontId="1" fillId="2" borderId="16" xfId="0" quotePrefix="1" applyFont="1" applyFill="1" applyBorder="1" applyAlignment="1">
      <alignment horizontal="center"/>
    </xf>
    <xf numFmtId="0" fontId="29" fillId="2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16" xfId="0" applyFont="1" applyFill="1" applyBorder="1" applyAlignment="1">
      <alignment horizontal="center"/>
    </xf>
    <xf numFmtId="0" fontId="1" fillId="6" borderId="16" xfId="0" quotePrefix="1" applyFont="1" applyFill="1" applyBorder="1" applyAlignment="1">
      <alignment horizontal="center"/>
    </xf>
    <xf numFmtId="14" fontId="1" fillId="6" borderId="16" xfId="0" applyNumberFormat="1" applyFont="1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165" fontId="0" fillId="0" borderId="0" xfId="2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0" fillId="6" borderId="16" xfId="0" applyFill="1" applyBorder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2" borderId="16" xfId="2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14" fontId="1" fillId="2" borderId="39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0" fillId="7" borderId="16" xfId="0" applyFill="1" applyBorder="1" applyAlignment="1">
      <alignment horizontal="center" vertical="center"/>
    </xf>
    <xf numFmtId="0" fontId="0" fillId="2" borderId="45" xfId="2" applyNumberFormat="1" applyFont="1" applyFill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 vertical="center"/>
    </xf>
    <xf numFmtId="166" fontId="0" fillId="0" borderId="16" xfId="0" applyNumberForma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31" fillId="3" borderId="40" xfId="0" applyFon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/>
    </xf>
    <xf numFmtId="164" fontId="0" fillId="7" borderId="46" xfId="0" applyNumberFormat="1" applyFill="1" applyBorder="1" applyAlignment="1">
      <alignment horizontal="center" vertical="center"/>
    </xf>
    <xf numFmtId="0" fontId="0" fillId="8" borderId="55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6" xfId="0" applyFill="1" applyBorder="1" applyAlignment="1">
      <alignment vertical="center"/>
    </xf>
    <xf numFmtId="0" fontId="0" fillId="8" borderId="57" xfId="0" applyFill="1" applyBorder="1" applyAlignment="1">
      <alignment vertical="center"/>
    </xf>
    <xf numFmtId="0" fontId="0" fillId="8" borderId="58" xfId="0" applyFill="1" applyBorder="1" applyAlignment="1">
      <alignment vertical="center"/>
    </xf>
    <xf numFmtId="0" fontId="31" fillId="3" borderId="47" xfId="0" applyFont="1" applyFill="1" applyBorder="1" applyAlignment="1">
      <alignment horizontal="center" vertical="center" wrapText="1"/>
    </xf>
    <xf numFmtId="0" fontId="31" fillId="3" borderId="48" xfId="0" applyFont="1" applyFill="1" applyBorder="1" applyAlignment="1">
      <alignment horizontal="center" vertical="center" wrapText="1"/>
    </xf>
    <xf numFmtId="166" fontId="0" fillId="2" borderId="47" xfId="0" applyNumberFormat="1" applyFill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 vertical="center" wrapText="1"/>
    </xf>
    <xf numFmtId="166" fontId="0" fillId="2" borderId="47" xfId="0" applyNumberForma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vertical="center" wrapText="1"/>
    </xf>
    <xf numFmtId="166" fontId="0" fillId="0" borderId="48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167" fontId="0" fillId="0" borderId="41" xfId="0" applyNumberFormat="1" applyBorder="1" applyAlignment="1">
      <alignment horizontal="center" vertical="center"/>
    </xf>
    <xf numFmtId="14" fontId="0" fillId="7" borderId="46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2" borderId="47" xfId="0" applyNumberFormat="1" applyFill="1" applyBorder="1" applyAlignment="1">
      <alignment horizontal="center" vertical="center"/>
    </xf>
    <xf numFmtId="2" fontId="0" fillId="2" borderId="47" xfId="0" applyNumberForma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wrapText="1"/>
    </xf>
    <xf numFmtId="2" fontId="0" fillId="0" borderId="4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64" fontId="0" fillId="7" borderId="16" xfId="0" applyNumberFormat="1" applyFill="1" applyBorder="1" applyAlignment="1">
      <alignment horizontal="center" vertical="center"/>
    </xf>
    <xf numFmtId="0" fontId="0" fillId="7" borderId="16" xfId="0" applyFill="1" applyBorder="1" applyAlignment="1">
      <alignment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59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14" fontId="1" fillId="2" borderId="16" xfId="0" applyNumberFormat="1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16" xfId="0" quotePrefix="1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2" fillId="3" borderId="16" xfId="0" applyFont="1" applyFill="1" applyBorder="1" applyAlignment="1">
      <alignment vertical="center" wrapText="1"/>
    </xf>
    <xf numFmtId="0" fontId="12" fillId="3" borderId="16" xfId="0" applyFont="1" applyFill="1" applyBorder="1" applyAlignment="1">
      <alignment horizontal="center" vertical="center" wrapText="1"/>
    </xf>
    <xf numFmtId="14" fontId="1" fillId="2" borderId="47" xfId="0" applyNumberFormat="1" applyFont="1" applyFill="1" applyBorder="1" applyAlignment="1">
      <alignment horizontal="center" vertical="center"/>
    </xf>
    <xf numFmtId="14" fontId="1" fillId="2" borderId="69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wrapText="1"/>
    </xf>
    <xf numFmtId="0" fontId="12" fillId="3" borderId="65" xfId="0" applyFont="1" applyFill="1" applyBorder="1" applyAlignment="1">
      <alignment horizontal="center" vertical="center" wrapText="1"/>
    </xf>
    <xf numFmtId="0" fontId="12" fillId="3" borderId="47" xfId="0" applyFont="1" applyFill="1" applyBorder="1" applyAlignment="1">
      <alignment horizontal="center" vertical="center" wrapText="1"/>
    </xf>
    <xf numFmtId="0" fontId="7" fillId="0" borderId="21" xfId="1" quotePrefix="1" applyFont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left" vertical="center"/>
    </xf>
    <xf numFmtId="0" fontId="1" fillId="2" borderId="46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39" xfId="0" quotePrefix="1" applyFont="1" applyFill="1" applyBorder="1" applyAlignment="1">
      <alignment horizontal="center" vertical="center"/>
    </xf>
    <xf numFmtId="0" fontId="1" fillId="2" borderId="46" xfId="0" quotePrefix="1" applyFont="1" applyFill="1" applyBorder="1" applyAlignment="1">
      <alignment horizontal="center" vertical="center"/>
    </xf>
    <xf numFmtId="0" fontId="26" fillId="3" borderId="61" xfId="0" applyFont="1" applyFill="1" applyBorder="1" applyAlignment="1">
      <alignment horizontal="center"/>
    </xf>
    <xf numFmtId="0" fontId="26" fillId="3" borderId="57" xfId="0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/>
    </xf>
    <xf numFmtId="164" fontId="7" fillId="0" borderId="68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wrapText="1"/>
    </xf>
    <xf numFmtId="0" fontId="11" fillId="3" borderId="14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wrapText="1"/>
    </xf>
    <xf numFmtId="0" fontId="0" fillId="2" borderId="39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26" fillId="3" borderId="0" xfId="0" applyFont="1" applyFill="1" applyAlignment="1">
      <alignment horizontal="center"/>
    </xf>
    <xf numFmtId="0" fontId="31" fillId="3" borderId="16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31" fillId="3" borderId="47" xfId="0" applyFont="1" applyFill="1" applyBorder="1" applyAlignment="1">
      <alignment horizontal="center" vertical="center"/>
    </xf>
    <xf numFmtId="0" fontId="31" fillId="3" borderId="52" xfId="0" applyFont="1" applyFill="1" applyBorder="1" applyAlignment="1">
      <alignment horizontal="center" vertical="center"/>
    </xf>
    <xf numFmtId="0" fontId="31" fillId="3" borderId="48" xfId="0" applyFont="1" applyFill="1" applyBorder="1" applyAlignment="1">
      <alignment horizontal="center" vertical="center"/>
    </xf>
    <xf numFmtId="0" fontId="0" fillId="8" borderId="38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0" fontId="0" fillId="2" borderId="48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34" fillId="3" borderId="16" xfId="0" applyFont="1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 wrapText="1"/>
    </xf>
    <xf numFmtId="0" fontId="0" fillId="9" borderId="60" xfId="0" applyFill="1" applyBorder="1" applyAlignment="1">
      <alignment horizontal="center" vertical="center" wrapText="1"/>
    </xf>
    <xf numFmtId="0" fontId="0" fillId="9" borderId="55" xfId="0" applyFill="1" applyBorder="1" applyAlignment="1">
      <alignment horizontal="center" vertical="center" wrapText="1"/>
    </xf>
    <xf numFmtId="0" fontId="0" fillId="9" borderId="56" xfId="0" applyFill="1" applyBorder="1" applyAlignment="1">
      <alignment horizontal="center" vertical="center" wrapText="1"/>
    </xf>
    <xf numFmtId="0" fontId="0" fillId="9" borderId="61" xfId="0" applyFill="1" applyBorder="1" applyAlignment="1">
      <alignment horizontal="center" vertical="center" wrapText="1"/>
    </xf>
    <xf numFmtId="0" fontId="0" fillId="9" borderId="58" xfId="0" applyFill="1" applyBorder="1" applyAlignment="1">
      <alignment horizontal="center" vertical="center" wrapText="1"/>
    </xf>
    <xf numFmtId="14" fontId="0" fillId="0" borderId="39" xfId="0" applyNumberFormat="1" applyBorder="1" applyAlignment="1">
      <alignment horizontal="center" vertical="center" wrapText="1"/>
    </xf>
    <xf numFmtId="14" fontId="0" fillId="0" borderId="46" xfId="0" applyNumberFormat="1" applyBorder="1" applyAlignment="1">
      <alignment horizontal="center" vertical="center" wrapText="1"/>
    </xf>
    <xf numFmtId="0" fontId="0" fillId="7" borderId="47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 wrapText="1"/>
    </xf>
    <xf numFmtId="0" fontId="0" fillId="9" borderId="62" xfId="0" applyFill="1" applyBorder="1" applyAlignment="1">
      <alignment horizontal="center" vertical="center" wrapText="1"/>
    </xf>
    <xf numFmtId="0" fontId="0" fillId="9" borderId="43" xfId="0" applyFill="1" applyBorder="1" applyAlignment="1">
      <alignment horizontal="center" vertical="center" wrapText="1"/>
    </xf>
    <xf numFmtId="0" fontId="0" fillId="9" borderId="63" xfId="0" applyFill="1" applyBorder="1" applyAlignment="1">
      <alignment horizontal="center" vertical="center" wrapText="1"/>
    </xf>
    <xf numFmtId="0" fontId="0" fillId="9" borderId="44" xfId="0" applyFill="1" applyBorder="1" applyAlignment="1">
      <alignment horizontal="center" vertical="center" wrapText="1"/>
    </xf>
    <xf numFmtId="0" fontId="31" fillId="3" borderId="49" xfId="0" applyFont="1" applyFill="1" applyBorder="1" applyAlignment="1">
      <alignment horizontal="center" vertical="center"/>
    </xf>
    <xf numFmtId="0" fontId="31" fillId="3" borderId="50" xfId="0" applyFont="1" applyFill="1" applyBorder="1" applyAlignment="1">
      <alignment horizontal="center" vertical="center"/>
    </xf>
    <xf numFmtId="0" fontId="31" fillId="3" borderId="51" xfId="0" applyFont="1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/>
    </xf>
    <xf numFmtId="0" fontId="12" fillId="3" borderId="47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 vertical="center"/>
    </xf>
    <xf numFmtId="0" fontId="0" fillId="8" borderId="60" xfId="0" applyFill="1" applyBorder="1" applyAlignment="1">
      <alignment horizontal="center" vertical="center"/>
    </xf>
    <xf numFmtId="0" fontId="0" fillId="8" borderId="61" xfId="0" applyFill="1" applyBorder="1" applyAlignment="1">
      <alignment horizontal="center" vertical="center"/>
    </xf>
    <xf numFmtId="0" fontId="0" fillId="8" borderId="57" xfId="0" applyFill="1" applyBorder="1" applyAlignment="1">
      <alignment horizontal="center" vertical="center"/>
    </xf>
    <xf numFmtId="0" fontId="0" fillId="8" borderId="58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 wrapText="1"/>
    </xf>
    <xf numFmtId="0" fontId="0" fillId="10" borderId="60" xfId="0" applyFill="1" applyBorder="1" applyAlignment="1">
      <alignment horizontal="center" vertical="center" wrapText="1"/>
    </xf>
    <xf numFmtId="0" fontId="0" fillId="10" borderId="55" xfId="0" applyFill="1" applyBorder="1" applyAlignment="1">
      <alignment horizontal="center" vertical="center" wrapText="1"/>
    </xf>
    <xf numFmtId="0" fontId="0" fillId="10" borderId="56" xfId="0" applyFill="1" applyBorder="1" applyAlignment="1">
      <alignment horizontal="center" vertical="center" wrapText="1"/>
    </xf>
    <xf numFmtId="0" fontId="0" fillId="10" borderId="61" xfId="0" applyFill="1" applyBorder="1" applyAlignment="1">
      <alignment horizontal="center" vertical="center" wrapText="1"/>
    </xf>
    <xf numFmtId="0" fontId="0" fillId="10" borderId="58" xfId="0" applyFill="1" applyBorder="1" applyAlignment="1">
      <alignment horizontal="center" vertical="center" wrapText="1"/>
    </xf>
    <xf numFmtId="0" fontId="12" fillId="3" borderId="59" xfId="0" applyFont="1" applyFill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/>
    </xf>
    <xf numFmtId="0" fontId="12" fillId="3" borderId="60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6" fillId="3" borderId="16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justify" vertical="center" wrapText="1"/>
    </xf>
    <xf numFmtId="0" fontId="7" fillId="0" borderId="23" xfId="1" applyFont="1" applyBorder="1" applyAlignment="1">
      <alignment horizontal="justify" vertical="center" wrapText="1"/>
    </xf>
    <xf numFmtId="0" fontId="7" fillId="0" borderId="24" xfId="1" applyFont="1" applyBorder="1" applyAlignment="1">
      <alignment horizontal="justify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13" fillId="0" borderId="16" xfId="1" applyBorder="1" applyAlignment="1">
      <alignment horizontal="center"/>
    </xf>
    <xf numFmtId="0" fontId="14" fillId="0" borderId="16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20" fillId="5" borderId="19" xfId="1" applyFont="1" applyFill="1" applyBorder="1" applyAlignment="1">
      <alignment horizontal="center" vertical="center" wrapText="1"/>
    </xf>
    <xf numFmtId="0" fontId="20" fillId="5" borderId="0" xfId="1" applyFont="1" applyFill="1" applyAlignment="1">
      <alignment horizontal="center" vertical="center" wrapText="1"/>
    </xf>
    <xf numFmtId="164" fontId="24" fillId="0" borderId="22" xfId="1" applyNumberFormat="1" applyFont="1" applyBorder="1" applyAlignment="1">
      <alignment horizontal="center" vertical="center" wrapText="1"/>
    </xf>
    <xf numFmtId="164" fontId="24" fillId="0" borderId="23" xfId="1" applyNumberFormat="1" applyFont="1" applyBorder="1" applyAlignment="1">
      <alignment horizontal="center" vertical="center" wrapText="1"/>
    </xf>
    <xf numFmtId="164" fontId="24" fillId="0" borderId="24" xfId="1" applyNumberFormat="1" applyFont="1" applyBorder="1" applyAlignment="1">
      <alignment horizontal="center" vertical="center" wrapText="1"/>
    </xf>
    <xf numFmtId="0" fontId="21" fillId="5" borderId="25" xfId="1" applyFont="1" applyFill="1" applyBorder="1" applyAlignment="1">
      <alignment horizontal="center" vertical="center" wrapText="1"/>
    </xf>
    <xf numFmtId="0" fontId="21" fillId="5" borderId="0" xfId="1" applyFont="1" applyFill="1" applyAlignment="1">
      <alignment horizontal="center" vertical="center" wrapText="1"/>
    </xf>
    <xf numFmtId="0" fontId="22" fillId="0" borderId="26" xfId="1" applyFont="1" applyBorder="1" applyAlignment="1">
      <alignment horizontal="center" vertical="center" wrapText="1"/>
    </xf>
    <xf numFmtId="0" fontId="22" fillId="0" borderId="27" xfId="1" applyFont="1" applyBorder="1" applyAlignment="1">
      <alignment horizontal="center" vertical="center" wrapText="1"/>
    </xf>
    <xf numFmtId="0" fontId="22" fillId="0" borderId="28" xfId="1" applyFont="1" applyBorder="1" applyAlignment="1">
      <alignment horizontal="center" vertical="center" wrapText="1"/>
    </xf>
    <xf numFmtId="0" fontId="22" fillId="0" borderId="29" xfId="1" applyFont="1" applyBorder="1" applyAlignment="1">
      <alignment horizontal="center" vertical="center" wrapText="1"/>
    </xf>
    <xf numFmtId="0" fontId="23" fillId="0" borderId="26" xfId="1" applyFont="1" applyBorder="1" applyAlignment="1">
      <alignment horizontal="center" vertical="center" wrapText="1"/>
    </xf>
    <xf numFmtId="0" fontId="23" fillId="0" borderId="27" xfId="1" applyFont="1" applyBorder="1" applyAlignment="1">
      <alignment horizontal="center" vertical="center" wrapText="1"/>
    </xf>
    <xf numFmtId="0" fontId="23" fillId="0" borderId="28" xfId="1" applyFont="1" applyBorder="1" applyAlignment="1">
      <alignment horizontal="center" vertical="center" wrapText="1"/>
    </xf>
    <xf numFmtId="0" fontId="23" fillId="0" borderId="29" xfId="1" applyFont="1" applyBorder="1" applyAlignment="1">
      <alignment horizontal="center" vertical="center" wrapText="1"/>
    </xf>
    <xf numFmtId="0" fontId="23" fillId="0" borderId="30" xfId="1" applyFont="1" applyBorder="1" applyAlignment="1">
      <alignment horizontal="center" vertical="center" wrapText="1"/>
    </xf>
    <xf numFmtId="0" fontId="23" fillId="0" borderId="31" xfId="1" applyFont="1" applyBorder="1" applyAlignment="1">
      <alignment horizontal="center" vertical="center" wrapText="1"/>
    </xf>
    <xf numFmtId="0" fontId="23" fillId="0" borderId="32" xfId="1" applyFont="1" applyBorder="1" applyAlignment="1">
      <alignment horizontal="center" vertical="center" wrapText="1"/>
    </xf>
    <xf numFmtId="0" fontId="24" fillId="0" borderId="22" xfId="1" applyFont="1" applyBorder="1" applyAlignment="1">
      <alignment horizontal="center" vertical="center" wrapText="1"/>
    </xf>
    <xf numFmtId="0" fontId="24" fillId="0" borderId="23" xfId="1" applyFont="1" applyBorder="1" applyAlignment="1">
      <alignment horizontal="center" vertical="center" wrapText="1"/>
    </xf>
    <xf numFmtId="0" fontId="24" fillId="0" borderId="24" xfId="1" applyFont="1" applyBorder="1" applyAlignment="1">
      <alignment horizontal="center" vertical="center" wrapText="1"/>
    </xf>
  </cellXfs>
  <cellStyles count="3">
    <cellStyle name="Normal" xfId="0" builtinId="0"/>
    <cellStyle name="Normal 2 2" xfId="1" xr:uid="{456B594E-8791-4EDF-A31F-2EBCD53868C0}"/>
    <cellStyle name="Porcentaje" xfId="2" builtinId="5"/>
  </cellStyles>
  <dxfs count="82"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FF0000"/>
      </font>
    </dxf>
    <dxf>
      <font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D6F0C"/>
      <color rgb="FF16AD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MAN-001'!$E$8:$E$17</c:f>
                <c:numCache>
                  <c:formatCode>General</c:formatCode>
                  <c:ptCount val="10"/>
                  <c:pt idx="0">
                    <c:v>0.4</c:v>
                  </c:pt>
                  <c:pt idx="1">
                    <c:v>0.39</c:v>
                  </c:pt>
                  <c:pt idx="2">
                    <c:v>0.45</c:v>
                  </c:pt>
                  <c:pt idx="3">
                    <c:v>0.86</c:v>
                  </c:pt>
                  <c:pt idx="4">
                    <c:v>0.48</c:v>
                  </c:pt>
                  <c:pt idx="5">
                    <c:v>0.8</c:v>
                  </c:pt>
                  <c:pt idx="6">
                    <c:v>0.5</c:v>
                  </c:pt>
                  <c:pt idx="7">
                    <c:v>0.42</c:v>
                  </c:pt>
                  <c:pt idx="8">
                    <c:v>0.49</c:v>
                  </c:pt>
                  <c:pt idx="9">
                    <c:v>0.35</c:v>
                  </c:pt>
                </c:numCache>
              </c:numRef>
            </c:plus>
            <c:minus>
              <c:numRef>
                <c:f>'VERIFICACIÓN MAN-001'!$E$8:$E$17</c:f>
                <c:numCache>
                  <c:formatCode>General</c:formatCode>
                  <c:ptCount val="10"/>
                  <c:pt idx="0">
                    <c:v>0.4</c:v>
                  </c:pt>
                  <c:pt idx="1">
                    <c:v>0.39</c:v>
                  </c:pt>
                  <c:pt idx="2">
                    <c:v>0.45</c:v>
                  </c:pt>
                  <c:pt idx="3">
                    <c:v>0.86</c:v>
                  </c:pt>
                  <c:pt idx="4">
                    <c:v>0.48</c:v>
                  </c:pt>
                  <c:pt idx="5">
                    <c:v>0.8</c:v>
                  </c:pt>
                  <c:pt idx="6">
                    <c:v>0.5</c:v>
                  </c:pt>
                  <c:pt idx="7">
                    <c:v>0.42</c:v>
                  </c:pt>
                  <c:pt idx="8">
                    <c:v>0.49</c:v>
                  </c:pt>
                  <c:pt idx="9">
                    <c:v>0.35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MAN-001'!$A$8:$A$17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MAN-001'!$D$8:$D$17</c:f>
              <c:numCache>
                <c:formatCode>General</c:formatCode>
                <c:ptCount val="10"/>
                <c:pt idx="0">
                  <c:v>-0.5</c:v>
                </c:pt>
                <c:pt idx="1">
                  <c:v>1.3999999999999773</c:v>
                </c:pt>
                <c:pt idx="2">
                  <c:v>1.6000000000000227</c:v>
                </c:pt>
                <c:pt idx="3">
                  <c:v>9.9999999999909051E-2</c:v>
                </c:pt>
                <c:pt idx="4">
                  <c:v>1.2999999999999545</c:v>
                </c:pt>
                <c:pt idx="5">
                  <c:v>0.40000000000009095</c:v>
                </c:pt>
                <c:pt idx="6">
                  <c:v>-0.90000000000009095</c:v>
                </c:pt>
                <c:pt idx="7">
                  <c:v>1.5999999999999091</c:v>
                </c:pt>
                <c:pt idx="8">
                  <c:v>1.8000000000001819</c:v>
                </c:pt>
                <c:pt idx="9">
                  <c:v>1.8000000000001819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B-4708-A38D-20A10E8585B4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MAN-001'!$A$8:$A$17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MAN-001'!$K$8:$K$17</c:f>
              <c:numCache>
                <c:formatCode>General</c:formatCode>
                <c:ptCount val="10"/>
                <c:pt idx="0">
                  <c:v>4.5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10.5</c:v>
                </c:pt>
                <c:pt idx="7">
                  <c:v>12</c:v>
                </c:pt>
                <c:pt idx="8">
                  <c:v>13.5</c:v>
                </c:pt>
                <c:pt idx="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B-4708-A38D-20A10E8585B4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MAN-001'!$A$8:$A$17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MAN-001'!$L$8:$L$17</c:f>
              <c:numCache>
                <c:formatCode>General</c:formatCode>
                <c:ptCount val="10"/>
                <c:pt idx="0">
                  <c:v>-4.5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-7.5</c:v>
                </c:pt>
                <c:pt idx="5">
                  <c:v>-9</c:v>
                </c:pt>
                <c:pt idx="6">
                  <c:v>-10.5</c:v>
                </c:pt>
                <c:pt idx="7">
                  <c:v>-12</c:v>
                </c:pt>
                <c:pt idx="8">
                  <c:v>-13.5</c:v>
                </c:pt>
                <c:pt idx="9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4B-4708-A38D-20A10E85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#REF!$E$9:$E$18</c:f>
                <c:numCache>
                  <c:formatCode>0.0000%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#REF!$E$9:$E$18</c:f>
                <c:numCache>
                  <c:formatCode>0.0000%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CRYSTAL 1k'!$A$9:$A$18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strCache>
            </c:strRef>
          </c:xVal>
          <c:yVal>
            <c:numRef>
              <c:f>'[1]VERIFICACIÓN CRYSTAL 1k'!$D$9:$D$18</c:f>
              <c:numCache>
                <c:formatCode>General</c:formatCode>
                <c:ptCount val="10"/>
                <c:pt idx="0">
                  <c:v>6.0999999999999943E-2</c:v>
                </c:pt>
                <c:pt idx="1">
                  <c:v>8.5999999999998522E-2</c:v>
                </c:pt>
                <c:pt idx="2">
                  <c:v>8.5999999999998522E-2</c:v>
                </c:pt>
                <c:pt idx="3">
                  <c:v>8.6000000000012733E-2</c:v>
                </c:pt>
                <c:pt idx="4">
                  <c:v>6.0999999999978627E-2</c:v>
                </c:pt>
                <c:pt idx="5">
                  <c:v>0.11099999999999</c:v>
                </c:pt>
                <c:pt idx="6">
                  <c:v>0.16099999999994452</c:v>
                </c:pt>
                <c:pt idx="7">
                  <c:v>0.18600000000003547</c:v>
                </c:pt>
                <c:pt idx="8">
                  <c:v>0.18600000000003547</c:v>
                </c:pt>
                <c:pt idx="9">
                  <c:v>0.18600000000003547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A-4276-9B77-7DF7ADB61CEA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CRYSTAL 1k'!$A$9:$A$18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strCache>
            </c:strRef>
          </c:xVal>
          <c:yVal>
            <c:numRef>
              <c:f>'[1]VERIFICACIÓN CRYSTAL 1k'!$K$9:$K$18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1.875</c:v>
                </c:pt>
                <c:pt idx="3">
                  <c:v>3.75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A-4276-9B77-7DF7ADB61CEA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CRYSTAL 1k'!$A$9:$A$18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strCache>
            </c:strRef>
          </c:xVal>
          <c:yVal>
            <c:numRef>
              <c:f>'[1]VERIFICACIÓN CRYSTAL 1k'!$L$9:$L$18</c:f>
              <c:numCache>
                <c:formatCode>General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-1.875</c:v>
                </c:pt>
                <c:pt idx="3">
                  <c:v>-3.75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  <c:pt idx="8">
                  <c:v>-6</c:v>
                </c:pt>
                <c:pt idx="9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A-4276-9B77-7DF7ADB61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'!$G$33:$G$40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6C-40AE-B4CF-388ADAC61A79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'!$H$33:$H$40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6C-40AE-B4CF-388ADAC61A79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'!$J$24:$J$31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1.2</c:v>
                </c:pt>
                <c:pt idx="5">
                  <c:v>1.5</c:v>
                </c:pt>
                <c:pt idx="6">
                  <c:v>1.7999999999999998</c:v>
                </c:pt>
                <c:pt idx="7">
                  <c:v>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6C-40AE-B4CF-388ADAC61A79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'!$K$24:$K$31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-1.2</c:v>
                </c:pt>
                <c:pt idx="5">
                  <c:v>-1.5</c:v>
                </c:pt>
                <c:pt idx="6">
                  <c:v>-1.7999999999999998</c:v>
                </c:pt>
                <c:pt idx="7">
                  <c:v>-2.1749999999999998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6C-40AE-B4CF-388ADAC6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DANFOSS 145 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316C-40AE-B4CF-388ADAC61A79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CRYSTAL 5k'!$E$9:$E$18</c:f>
                <c:numCache>
                  <c:formatCode>General</c:formatCode>
                  <c:ptCount val="10"/>
                  <c:pt idx="0">
                    <c:v>0.34</c:v>
                  </c:pt>
                  <c:pt idx="1">
                    <c:v>0.34</c:v>
                  </c:pt>
                  <c:pt idx="2">
                    <c:v>0.34</c:v>
                  </c:pt>
                  <c:pt idx="3">
                    <c:v>0.34</c:v>
                  </c:pt>
                  <c:pt idx="4">
                    <c:v>0.34</c:v>
                  </c:pt>
                  <c:pt idx="5">
                    <c:v>0.34</c:v>
                  </c:pt>
                  <c:pt idx="6">
                    <c:v>0.34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</c:numCache>
              </c:numRef>
            </c:plus>
            <c:minus>
              <c:numRef>
                <c:f>'VERIFICACIÓN CRYSTAL 5k'!$E$9:$E$18</c:f>
                <c:numCache>
                  <c:formatCode>General</c:formatCode>
                  <c:ptCount val="10"/>
                  <c:pt idx="0">
                    <c:v>0.34</c:v>
                  </c:pt>
                  <c:pt idx="1">
                    <c:v>0.34</c:v>
                  </c:pt>
                  <c:pt idx="2">
                    <c:v>0.34</c:v>
                  </c:pt>
                  <c:pt idx="3">
                    <c:v>0.34</c:v>
                  </c:pt>
                  <c:pt idx="4">
                    <c:v>0.34</c:v>
                  </c:pt>
                  <c:pt idx="5">
                    <c:v>0.34</c:v>
                  </c:pt>
                  <c:pt idx="6">
                    <c:v>0.34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CRYSTAL 5k'!$A$9:$A$18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CRYSTAL 5k'!$D$9:$D$18</c:f>
              <c:numCache>
                <c:formatCode>General</c:formatCode>
                <c:ptCount val="10"/>
                <c:pt idx="0">
                  <c:v>0.36000000000001364</c:v>
                </c:pt>
                <c:pt idx="1">
                  <c:v>0.44000000000005457</c:v>
                </c:pt>
                <c:pt idx="2">
                  <c:v>0.41000000000008185</c:v>
                </c:pt>
                <c:pt idx="3">
                  <c:v>0.18000000000006366</c:v>
                </c:pt>
                <c:pt idx="4">
                  <c:v>0.65000000000009095</c:v>
                </c:pt>
                <c:pt idx="5">
                  <c:v>0.42000000000007276</c:v>
                </c:pt>
                <c:pt idx="6">
                  <c:v>0.8000000000001819</c:v>
                </c:pt>
                <c:pt idx="7">
                  <c:v>0.57000000000016371</c:v>
                </c:pt>
                <c:pt idx="8">
                  <c:v>0.96000000000003638</c:v>
                </c:pt>
                <c:pt idx="9">
                  <c:v>0.46000000000003638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E-4F67-B7D0-6187639C0D79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CRYSTAL 5k'!$A$9:$A$18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CRYSTAL 5k'!$K$9:$K$18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7.4979499999999994</c:v>
                </c:pt>
                <c:pt idx="3">
                  <c:v>9.9991000000000003</c:v>
                </c:pt>
                <c:pt idx="4">
                  <c:v>12.49675</c:v>
                </c:pt>
                <c:pt idx="5">
                  <c:v>14.9979</c:v>
                </c:pt>
                <c:pt idx="6">
                  <c:v>17.495999999999999</c:v>
                </c:pt>
                <c:pt idx="7">
                  <c:v>19.997150000000001</c:v>
                </c:pt>
                <c:pt idx="8">
                  <c:v>22.495200000000001</c:v>
                </c:pt>
                <c:pt idx="9">
                  <c:v>24.997700000000002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5E-4F67-B7D0-6187639C0D79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CRYSTAL 5k'!$A$9:$A$18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CRYSTAL 5k'!$L$9:$L$18</c:f>
              <c:numCache>
                <c:formatCode>General</c:formatCode>
                <c:ptCount val="10"/>
                <c:pt idx="0">
                  <c:v>-6</c:v>
                </c:pt>
                <c:pt idx="1">
                  <c:v>-6</c:v>
                </c:pt>
                <c:pt idx="2">
                  <c:v>-7.4979499999999994</c:v>
                </c:pt>
                <c:pt idx="3">
                  <c:v>-9.9991000000000003</c:v>
                </c:pt>
                <c:pt idx="4">
                  <c:v>-12.49675</c:v>
                </c:pt>
                <c:pt idx="5">
                  <c:v>-14.9979</c:v>
                </c:pt>
                <c:pt idx="6">
                  <c:v>-17.495999999999999</c:v>
                </c:pt>
                <c:pt idx="7">
                  <c:v>-19.997150000000001</c:v>
                </c:pt>
                <c:pt idx="8">
                  <c:v>-22.495200000000001</c:v>
                </c:pt>
                <c:pt idx="9">
                  <c:v>-24.997700000000002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5E-4F67-B7D0-6187639C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'!$G$33:$G$40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D-4427-A351-A766C217A8DF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'!$H$33:$H$40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CD-4427-A351-A766C217A8DF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'!$J$24:$J$31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1.2</c:v>
                </c:pt>
                <c:pt idx="5">
                  <c:v>1.5</c:v>
                </c:pt>
                <c:pt idx="6">
                  <c:v>1.7999999999999998</c:v>
                </c:pt>
                <c:pt idx="7">
                  <c:v>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CD-4427-A351-A766C217A8DF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'!$K$24:$K$31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-1.2</c:v>
                </c:pt>
                <c:pt idx="5">
                  <c:v>-1.5</c:v>
                </c:pt>
                <c:pt idx="6">
                  <c:v>-1.7999999999999998</c:v>
                </c:pt>
                <c:pt idx="7">
                  <c:v>-2.1749999999999998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CD-4427-A351-A766C217A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DANFOSS 145 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CFCD-4427-A351-A766C217A8DF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ADDITEL'!$E$9:$E$18</c:f>
                <c:numCache>
                  <c:formatCode>General</c:formatCode>
                  <c:ptCount val="10"/>
                  <c:pt idx="0">
                    <c:v>0.34</c:v>
                  </c:pt>
                  <c:pt idx="1">
                    <c:v>0.34</c:v>
                  </c:pt>
                  <c:pt idx="2">
                    <c:v>0.34</c:v>
                  </c:pt>
                  <c:pt idx="3">
                    <c:v>0.34</c:v>
                  </c:pt>
                  <c:pt idx="4">
                    <c:v>0.34</c:v>
                  </c:pt>
                  <c:pt idx="5">
                    <c:v>0.34</c:v>
                  </c:pt>
                  <c:pt idx="6">
                    <c:v>0.34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</c:numCache>
              </c:numRef>
            </c:plus>
            <c:minus>
              <c:numRef>
                <c:f>'VERIFICACIÓN ADDITEL'!$E$9:$E$18</c:f>
                <c:numCache>
                  <c:formatCode>General</c:formatCode>
                  <c:ptCount val="10"/>
                  <c:pt idx="0">
                    <c:v>0.34</c:v>
                  </c:pt>
                  <c:pt idx="1">
                    <c:v>0.34</c:v>
                  </c:pt>
                  <c:pt idx="2">
                    <c:v>0.34</c:v>
                  </c:pt>
                  <c:pt idx="3">
                    <c:v>0.34</c:v>
                  </c:pt>
                  <c:pt idx="4">
                    <c:v>0.34</c:v>
                  </c:pt>
                  <c:pt idx="5">
                    <c:v>0.34</c:v>
                  </c:pt>
                  <c:pt idx="6">
                    <c:v>0.34</c:v>
                  </c:pt>
                  <c:pt idx="7">
                    <c:v>0.35</c:v>
                  </c:pt>
                  <c:pt idx="8">
                    <c:v>0.35</c:v>
                  </c:pt>
                  <c:pt idx="9">
                    <c:v>0.35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ADDITEL'!$A$9:$A$18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ADDITEL'!$D$9:$D$18</c:f>
              <c:numCache>
                <c:formatCode>General</c:formatCode>
                <c:ptCount val="10"/>
                <c:pt idx="0">
                  <c:v>-0.19999999999998863</c:v>
                </c:pt>
                <c:pt idx="1">
                  <c:v>0.20000000000004547</c:v>
                </c:pt>
                <c:pt idx="2">
                  <c:v>-0.10000000000002274</c:v>
                </c:pt>
                <c:pt idx="3">
                  <c:v>-0.20000000000004547</c:v>
                </c:pt>
                <c:pt idx="4">
                  <c:v>-0.20000000000004547</c:v>
                </c:pt>
                <c:pt idx="5">
                  <c:v>0</c:v>
                </c:pt>
                <c:pt idx="6">
                  <c:v>0.40000000000009095</c:v>
                </c:pt>
                <c:pt idx="7">
                  <c:v>-9.9999999999909051E-2</c:v>
                </c:pt>
                <c:pt idx="8">
                  <c:v>-9.9999999999909051E-2</c:v>
                </c:pt>
                <c:pt idx="9">
                  <c:v>-0.3000000000001819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3-4B78-9E44-31552081C437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ADDITEL'!$A$9:$A$18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ADDITEL'!$K$9:$K$18</c:f>
              <c:numCache>
                <c:formatCode>General</c:formatCode>
                <c:ptCount val="10"/>
                <c:pt idx="0">
                  <c:v>4.5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10.5</c:v>
                </c:pt>
                <c:pt idx="7">
                  <c:v>12</c:v>
                </c:pt>
                <c:pt idx="8">
                  <c:v>13.5</c:v>
                </c:pt>
                <c:pt idx="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E3-4B78-9E44-31552081C437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ADDITEL'!$A$9:$A$18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ADDITEL'!$L$9:$L$18</c:f>
              <c:numCache>
                <c:formatCode>General</c:formatCode>
                <c:ptCount val="10"/>
                <c:pt idx="0">
                  <c:v>-4.5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-7.5</c:v>
                </c:pt>
                <c:pt idx="5">
                  <c:v>-9</c:v>
                </c:pt>
                <c:pt idx="6">
                  <c:v>-10.5</c:v>
                </c:pt>
                <c:pt idx="7">
                  <c:v>-12</c:v>
                </c:pt>
                <c:pt idx="8">
                  <c:v>-13.5</c:v>
                </c:pt>
                <c:pt idx="9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E3-4B78-9E44-31552081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'!$G$33:$G$40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4D-4707-A646-ABFB772C1CAE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'!$H$33:$H$40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4D-4707-A646-ABFB772C1CAE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'!$J$24:$J$31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1.2</c:v>
                </c:pt>
                <c:pt idx="5">
                  <c:v>1.5</c:v>
                </c:pt>
                <c:pt idx="6">
                  <c:v>1.7999999999999998</c:v>
                </c:pt>
                <c:pt idx="7">
                  <c:v>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4D-4707-A646-ABFB772C1CAE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'!$K$24:$K$31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-1.2</c:v>
                </c:pt>
                <c:pt idx="5">
                  <c:v>-1.5</c:v>
                </c:pt>
                <c:pt idx="6">
                  <c:v>-1.7999999999999998</c:v>
                </c:pt>
                <c:pt idx="7">
                  <c:v>-2.1749999999999998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4D-4707-A646-ABFB772C1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DANFOSS 145 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984D-4707-A646-ABFB772C1CAE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870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870 '!$G$34:$G$41</c:f>
              <c:numCache>
                <c:formatCode>General</c:formatCode>
                <c:ptCount val="8"/>
                <c:pt idx="0">
                  <c:v>0.01</c:v>
                </c:pt>
                <c:pt idx="1">
                  <c:v>-0.14000000000000057</c:v>
                </c:pt>
                <c:pt idx="2">
                  <c:v>0</c:v>
                </c:pt>
                <c:pt idx="3">
                  <c:v>-0.14999999999997726</c:v>
                </c:pt>
                <c:pt idx="4">
                  <c:v>-0.15000000000003411</c:v>
                </c:pt>
                <c:pt idx="5">
                  <c:v>0</c:v>
                </c:pt>
                <c:pt idx="6">
                  <c:v>0</c:v>
                </c:pt>
                <c:pt idx="7">
                  <c:v>-0.14999999999997726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E0-407E-8C28-DF375D7CBA24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DANFOSS 870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870 '!$H$34:$H$41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E0-407E-8C28-DF375D7CBA24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870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870 '!$J$25:$J$32</c:f>
              <c:numCache>
                <c:formatCode>General</c:formatCode>
                <c:ptCount val="8"/>
                <c:pt idx="0">
                  <c:v>1</c:v>
                </c:pt>
                <c:pt idx="1">
                  <c:v>1.8599999999999999</c:v>
                </c:pt>
                <c:pt idx="2">
                  <c:v>3.7199999999999998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E0-407E-8C28-DF375D7CBA24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870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870 '!$K$25:$K$32</c:f>
              <c:numCache>
                <c:formatCode>General</c:formatCode>
                <c:ptCount val="8"/>
                <c:pt idx="0">
                  <c:v>-1</c:v>
                </c:pt>
                <c:pt idx="1">
                  <c:v>-1.8599999999999999</c:v>
                </c:pt>
                <c:pt idx="2">
                  <c:v>-3.7199999999999998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-6</c:v>
                </c:pt>
                <c:pt idx="7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E0-407E-8C28-DF375D7CB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DANFOSS 870 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DFE0-407E-8C28-DF375D7CBA24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Especificación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DANFOSS 3625'!$E$9:$E$20</c:f>
                <c:numCache>
                  <c:formatCode>General</c:formatCode>
                  <c:ptCount val="12"/>
                  <c:pt idx="0">
                    <c:v>8.3000000000000001E-3</c:v>
                  </c:pt>
                  <c:pt idx="1">
                    <c:v>0.32</c:v>
                  </c:pt>
                  <c:pt idx="2">
                    <c:v>0.26</c:v>
                  </c:pt>
                  <c:pt idx="3">
                    <c:v>0.25</c:v>
                  </c:pt>
                  <c:pt idx="4">
                    <c:v>0.11</c:v>
                  </c:pt>
                  <c:pt idx="5">
                    <c:v>0.18</c:v>
                  </c:pt>
                  <c:pt idx="6">
                    <c:v>0.34</c:v>
                  </c:pt>
                  <c:pt idx="7">
                    <c:v>0.24</c:v>
                  </c:pt>
                  <c:pt idx="8">
                    <c:v>0.81</c:v>
                  </c:pt>
                  <c:pt idx="9">
                    <c:v>0.26</c:v>
                  </c:pt>
                  <c:pt idx="10">
                    <c:v>0.26</c:v>
                  </c:pt>
                  <c:pt idx="11">
                    <c:v>0.51</c:v>
                  </c:pt>
                </c:numCache>
              </c:numRef>
            </c:plus>
            <c:minus>
              <c:numRef>
                <c:f>'VERIFICACIÓN DANFOSS 3625'!$E$9:$E$20</c:f>
                <c:numCache>
                  <c:formatCode>General</c:formatCode>
                  <c:ptCount val="12"/>
                  <c:pt idx="0">
                    <c:v>8.3000000000000001E-3</c:v>
                  </c:pt>
                  <c:pt idx="1">
                    <c:v>0.32</c:v>
                  </c:pt>
                  <c:pt idx="2">
                    <c:v>0.26</c:v>
                  </c:pt>
                  <c:pt idx="3">
                    <c:v>0.25</c:v>
                  </c:pt>
                  <c:pt idx="4">
                    <c:v>0.11</c:v>
                  </c:pt>
                  <c:pt idx="5">
                    <c:v>0.18</c:v>
                  </c:pt>
                  <c:pt idx="6">
                    <c:v>0.34</c:v>
                  </c:pt>
                  <c:pt idx="7">
                    <c:v>0.24</c:v>
                  </c:pt>
                  <c:pt idx="8">
                    <c:v>0.81</c:v>
                  </c:pt>
                  <c:pt idx="9">
                    <c:v>0.26</c:v>
                  </c:pt>
                  <c:pt idx="10">
                    <c:v>0.26</c:v>
                  </c:pt>
                  <c:pt idx="11">
                    <c:v>0.51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DANFOSS 3625'!$A$9:$A$20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'[1]VERIFICACIÓN DANFOSS 3625'!$D$9:$D$20</c:f>
              <c:numCache>
                <c:formatCode>General</c:formatCode>
                <c:ptCount val="12"/>
                <c:pt idx="0">
                  <c:v>0</c:v>
                </c:pt>
                <c:pt idx="1">
                  <c:v>4.6399999999999864</c:v>
                </c:pt>
                <c:pt idx="2">
                  <c:v>7.4900000000000091</c:v>
                </c:pt>
                <c:pt idx="3">
                  <c:v>10.059999999999945</c:v>
                </c:pt>
                <c:pt idx="4">
                  <c:v>11.440000000000055</c:v>
                </c:pt>
                <c:pt idx="5">
                  <c:v>12.480000000000018</c:v>
                </c:pt>
                <c:pt idx="6">
                  <c:v>12.279999999999973</c:v>
                </c:pt>
                <c:pt idx="7">
                  <c:v>12.039999999999964</c:v>
                </c:pt>
                <c:pt idx="8">
                  <c:v>11.570000000000164</c:v>
                </c:pt>
                <c:pt idx="9">
                  <c:v>13.710000000000036</c:v>
                </c:pt>
                <c:pt idx="10">
                  <c:v>13.420000000000073</c:v>
                </c:pt>
                <c:pt idx="11">
                  <c:v>12.809999999999945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0-4AAD-9694-7168DE1247E6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DANFOSS 3625'!$A$9:$A$20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'[1]VERIFICACIÓN DANFOSS 3625'!$K$9:$K$20</c:f>
              <c:numCache>
                <c:formatCode>General</c:formatCode>
                <c:ptCount val="12"/>
                <c:pt idx="0">
                  <c:v>0.1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13.16</c:v>
                </c:pt>
                <c:pt idx="5">
                  <c:v>16.45</c:v>
                </c:pt>
                <c:pt idx="6">
                  <c:v>19.740000000000002</c:v>
                </c:pt>
                <c:pt idx="7">
                  <c:v>23.03</c:v>
                </c:pt>
                <c:pt idx="8">
                  <c:v>26.32</c:v>
                </c:pt>
                <c:pt idx="9">
                  <c:v>29.61</c:v>
                </c:pt>
                <c:pt idx="10">
                  <c:v>32.9</c:v>
                </c:pt>
                <c:pt idx="11">
                  <c:v>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0-4AAD-9694-7168DE1247E6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DANFOSS 3625'!$A$9:$A$20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'[1]VERIFICACIÓN DANFOSS 3625'!$L$9:$L$20</c:f>
              <c:numCache>
                <c:formatCode>General</c:formatCode>
                <c:ptCount val="12"/>
                <c:pt idx="0">
                  <c:v>-0.1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-13.16</c:v>
                </c:pt>
                <c:pt idx="5">
                  <c:v>-16.45</c:v>
                </c:pt>
                <c:pt idx="6">
                  <c:v>-19.740000000000002</c:v>
                </c:pt>
                <c:pt idx="7">
                  <c:v>-23.03</c:v>
                </c:pt>
                <c:pt idx="8">
                  <c:v>-26.32</c:v>
                </c:pt>
                <c:pt idx="9">
                  <c:v>-29.61</c:v>
                </c:pt>
                <c:pt idx="10">
                  <c:v>-32.9</c:v>
                </c:pt>
                <c:pt idx="11">
                  <c:v>-36.25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C0-4AAD-9694-7168DE124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3625'!#REF!</c:f>
              <c:strCache>
                <c:ptCount val="1"/>
                <c:pt idx="0">
                  <c:v>#¡REF!</c:v>
                </c:pt>
              </c:strCache>
            </c:strRef>
          </c:xVal>
          <c:yVal>
            <c:numRef>
              <c:f>'[1]VERIFICACIÓN DANFOSS 3625'!#REF!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3-4379-BC6B-632F660841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DANFOSS 3625'!#REF!</c:f>
              <c:strCache>
                <c:ptCount val="1"/>
                <c:pt idx="0">
                  <c:v>#¡REF!</c:v>
                </c:pt>
              </c:strCache>
            </c:strRef>
          </c:xVal>
          <c:yVal>
            <c:numRef>
              <c:f>'[1]VERIFICACIÓN DANFOSS 3625'!#REF!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3-4379-BC6B-632F6608416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DANFOSS 3625'!#REF!</c:f>
              <c:strCache>
                <c:ptCount val="1"/>
                <c:pt idx="0">
                  <c:v>#¡REF!</c:v>
                </c:pt>
              </c:strCache>
            </c:strRef>
          </c:xVal>
          <c:yVal>
            <c:numRef>
              <c:f>'[1]VERIFICACIÓN DANFOSS 3625'!#REF!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B3-4379-BC6B-632F66084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3625'!$A$9:$A$16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3625'!$G$35:$G$42</c:f>
              <c:numCache>
                <c:formatCode>General</c:formatCode>
                <c:ptCount val="8"/>
                <c:pt idx="0">
                  <c:v>0</c:v>
                </c:pt>
                <c:pt idx="1">
                  <c:v>0.61000000000001364</c:v>
                </c:pt>
                <c:pt idx="2">
                  <c:v>3.0000000000086402E-2</c:v>
                </c:pt>
                <c:pt idx="3">
                  <c:v>0</c:v>
                </c:pt>
                <c:pt idx="4">
                  <c:v>0.59999999999990905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A9-457D-8F22-0B4038B2DB1F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DANFOSS 3625'!$A$9:$A$16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3625'!$H$35:$H$42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A9-457D-8F22-0B4038B2DB1F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3625'!$A$9:$A$16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3625'!$J$26:$J$33</c:f>
              <c:numCache>
                <c:formatCode>General</c:formatCode>
                <c:ptCount val="8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6.42</c:v>
                </c:pt>
                <c:pt idx="4">
                  <c:v>8.56</c:v>
                </c:pt>
                <c:pt idx="5">
                  <c:v>10.700000000000001</c:v>
                </c:pt>
                <c:pt idx="6">
                  <c:v>12.84</c:v>
                </c:pt>
                <c:pt idx="7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A9-457D-8F22-0B4038B2DB1F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3625'!$A$9:$A$16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3625'!$K$26:$K$33</c:f>
              <c:numCache>
                <c:formatCode>General</c:formatCode>
                <c:ptCount val="8"/>
                <c:pt idx="0">
                  <c:v>-1</c:v>
                </c:pt>
                <c:pt idx="1">
                  <c:v>-6</c:v>
                </c:pt>
                <c:pt idx="2">
                  <c:v>-6</c:v>
                </c:pt>
                <c:pt idx="3">
                  <c:v>-6.42</c:v>
                </c:pt>
                <c:pt idx="4">
                  <c:v>-8.56</c:v>
                </c:pt>
                <c:pt idx="5">
                  <c:v>-10.700000000000001</c:v>
                </c:pt>
                <c:pt idx="6">
                  <c:v>-12.84</c:v>
                </c:pt>
                <c:pt idx="7">
                  <c:v>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A9-457D-8F22-0B4038B2D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DANFOSS 3625'!$A$9:$A$16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4A9-457D-8F22-0B4038B2DB1F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Especificación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DANFOSS 145 '!$E$9:$E$18</c:f>
                <c:numCache>
                  <c:formatCode>General</c:formatCode>
                  <c:ptCount val="10"/>
                  <c:pt idx="0">
                    <c:v>5.7999999999999996E-3</c:v>
                  </c:pt>
                  <c:pt idx="1">
                    <c:v>4.8000000000000001E-2</c:v>
                  </c:pt>
                  <c:pt idx="2">
                    <c:v>2.5000000000000001E-2</c:v>
                  </c:pt>
                  <c:pt idx="3">
                    <c:v>2.3E-2</c:v>
                  </c:pt>
                  <c:pt idx="4">
                    <c:v>4.3999999999999997E-2</c:v>
                  </c:pt>
                  <c:pt idx="5">
                    <c:v>4.3999999999999997E-2</c:v>
                  </c:pt>
                  <c:pt idx="6">
                    <c:v>2.3E-2</c:v>
                  </c:pt>
                  <c:pt idx="7">
                    <c:v>2.1000000000000001E-2</c:v>
                  </c:pt>
                  <c:pt idx="8">
                    <c:v>3.3000000000000002E-2</c:v>
                  </c:pt>
                  <c:pt idx="9">
                    <c:v>1.7000000000000001E-2</c:v>
                  </c:pt>
                </c:numCache>
              </c:numRef>
            </c:plus>
            <c:minus>
              <c:numRef>
                <c:f>'VERIFICACIÓN DANFOSS 145 '!$E$9:$E$18</c:f>
                <c:numCache>
                  <c:formatCode>General</c:formatCode>
                  <c:ptCount val="10"/>
                  <c:pt idx="0">
                    <c:v>5.7999999999999996E-3</c:v>
                  </c:pt>
                  <c:pt idx="1">
                    <c:v>4.8000000000000001E-2</c:v>
                  </c:pt>
                  <c:pt idx="2">
                    <c:v>2.5000000000000001E-2</c:v>
                  </c:pt>
                  <c:pt idx="3">
                    <c:v>2.3E-2</c:v>
                  </c:pt>
                  <c:pt idx="4">
                    <c:v>4.3999999999999997E-2</c:v>
                  </c:pt>
                  <c:pt idx="5">
                    <c:v>4.3999999999999997E-2</c:v>
                  </c:pt>
                  <c:pt idx="6">
                    <c:v>2.3E-2</c:v>
                  </c:pt>
                  <c:pt idx="7">
                    <c:v>2.1000000000000001E-2</c:v>
                  </c:pt>
                  <c:pt idx="8">
                    <c:v>3.3000000000000002E-2</c:v>
                  </c:pt>
                  <c:pt idx="9">
                    <c:v>1.7000000000000001E-2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DANFOSS 145 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DANFOSS 145 '!$D$9:$D$18</c:f>
              <c:numCache>
                <c:formatCode>General</c:formatCode>
                <c:ptCount val="10"/>
                <c:pt idx="0">
                  <c:v>0</c:v>
                </c:pt>
                <c:pt idx="1">
                  <c:v>-5.7999999999999829E-2</c:v>
                </c:pt>
                <c:pt idx="2">
                  <c:v>-4.4999999999999929E-2</c:v>
                </c:pt>
                <c:pt idx="3">
                  <c:v>-5.7999999999999829E-2</c:v>
                </c:pt>
                <c:pt idx="4">
                  <c:v>-8.2999999999998408E-2</c:v>
                </c:pt>
                <c:pt idx="5">
                  <c:v>-0.11299999999999955</c:v>
                </c:pt>
                <c:pt idx="6">
                  <c:v>-7.9999999999998295E-2</c:v>
                </c:pt>
                <c:pt idx="7">
                  <c:v>-4.0000000000006253E-2</c:v>
                </c:pt>
                <c:pt idx="8">
                  <c:v>8.1999999999993634E-2</c:v>
                </c:pt>
                <c:pt idx="9">
                  <c:v>0.16499999999999204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F-4076-BBA7-448EFF673173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DANFOSS 145 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DANFOSS 145 '!$K$9:$K$18</c:f>
              <c:numCache>
                <c:formatCode>General</c:formatCode>
                <c:ptCount val="10"/>
                <c:pt idx="0">
                  <c:v>0.1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2.16</c:v>
                </c:pt>
                <c:pt idx="6">
                  <c:v>2.6999999999999997</c:v>
                </c:pt>
                <c:pt idx="7">
                  <c:v>3.2399999999999998</c:v>
                </c:pt>
                <c:pt idx="8">
                  <c:v>3.78</c:v>
                </c:pt>
                <c:pt idx="9">
                  <c:v>4.3499999999999996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F-4076-BBA7-448EFF673173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DANFOSS 145 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'[1]VERIFICACIÓN DANFOSS 145 '!$L$9:$L$18</c:f>
              <c:numCache>
                <c:formatCode>General</c:formatCode>
                <c:ptCount val="10"/>
                <c:pt idx="0">
                  <c:v>-0.1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-2.16</c:v>
                </c:pt>
                <c:pt idx="6">
                  <c:v>-2.6999999999999997</c:v>
                </c:pt>
                <c:pt idx="7">
                  <c:v>-3.2399999999999998</c:v>
                </c:pt>
                <c:pt idx="8">
                  <c:v>-3.78</c:v>
                </c:pt>
                <c:pt idx="9">
                  <c:v>-4.3499999999999996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DF-4076-BBA7-448EFF673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'!$G$33:$G$40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D0-4111-B862-D6248EA3659F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'!$H$33:$H$40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D0-4111-B862-D6248EA3659F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'!$J$24:$J$31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1.2</c:v>
                </c:pt>
                <c:pt idx="5">
                  <c:v>1.5</c:v>
                </c:pt>
                <c:pt idx="6">
                  <c:v>1.7999999999999998</c:v>
                </c:pt>
                <c:pt idx="7">
                  <c:v>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D0-4111-B862-D6248EA3659F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DANFOSS 145 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DANFOSS 145 '!$K$24:$K$31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-1.2</c:v>
                </c:pt>
                <c:pt idx="5">
                  <c:v>-1.5</c:v>
                </c:pt>
                <c:pt idx="6">
                  <c:v>-1.7999999999999998</c:v>
                </c:pt>
                <c:pt idx="7">
                  <c:v>-2.1749999999999998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D0-4111-B862-D6248EA3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DANFOSS 145 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2D0-4111-B862-D6248EA3659F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Especificación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RITHERM'!$E$9:$E$21</c:f>
                <c:numCache>
                  <c:formatCode>General</c:formatCode>
                  <c:ptCount val="13"/>
                  <c:pt idx="0">
                    <c:v>6.4000000000000003E-3</c:v>
                  </c:pt>
                  <c:pt idx="1">
                    <c:v>0.21</c:v>
                  </c:pt>
                  <c:pt idx="2">
                    <c:v>8.6999999999999994E-2</c:v>
                  </c:pt>
                  <c:pt idx="3">
                    <c:v>0.25</c:v>
                  </c:pt>
                  <c:pt idx="4">
                    <c:v>0.14000000000000001</c:v>
                  </c:pt>
                  <c:pt idx="5">
                    <c:v>0.3</c:v>
                  </c:pt>
                  <c:pt idx="6">
                    <c:v>0.28000000000000003</c:v>
                  </c:pt>
                  <c:pt idx="7">
                    <c:v>0.2</c:v>
                  </c:pt>
                  <c:pt idx="8">
                    <c:v>0.52</c:v>
                  </c:pt>
                  <c:pt idx="9">
                    <c:v>0.87</c:v>
                  </c:pt>
                  <c:pt idx="10">
                    <c:v>0.42</c:v>
                  </c:pt>
                  <c:pt idx="11">
                    <c:v>0.64</c:v>
                  </c:pt>
                  <c:pt idx="12">
                    <c:v>0.33</c:v>
                  </c:pt>
                </c:numCache>
              </c:numRef>
            </c:plus>
            <c:minus>
              <c:numRef>
                <c:f>'VERIFICACIÓN RITHERM'!$E$9:$E$21</c:f>
                <c:numCache>
                  <c:formatCode>General</c:formatCode>
                  <c:ptCount val="13"/>
                  <c:pt idx="0">
                    <c:v>6.4000000000000003E-3</c:v>
                  </c:pt>
                  <c:pt idx="1">
                    <c:v>0.21</c:v>
                  </c:pt>
                  <c:pt idx="2">
                    <c:v>8.6999999999999994E-2</c:v>
                  </c:pt>
                  <c:pt idx="3">
                    <c:v>0.25</c:v>
                  </c:pt>
                  <c:pt idx="4">
                    <c:v>0.14000000000000001</c:v>
                  </c:pt>
                  <c:pt idx="5">
                    <c:v>0.3</c:v>
                  </c:pt>
                  <c:pt idx="6">
                    <c:v>0.28000000000000003</c:v>
                  </c:pt>
                  <c:pt idx="7">
                    <c:v>0.2</c:v>
                  </c:pt>
                  <c:pt idx="8">
                    <c:v>0.52</c:v>
                  </c:pt>
                  <c:pt idx="9">
                    <c:v>0.87</c:v>
                  </c:pt>
                  <c:pt idx="10">
                    <c:v>0.42</c:v>
                  </c:pt>
                  <c:pt idx="11">
                    <c:v>0.64</c:v>
                  </c:pt>
                  <c:pt idx="12">
                    <c:v>0.33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RITHERM'!$A$9:$A$21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xVal>
          <c:yVal>
            <c:numRef>
              <c:f>'[1]VERIFICACIÓN RITHERM'!$D$9:$D$21</c:f>
              <c:numCache>
                <c:formatCode>General</c:formatCode>
                <c:ptCount val="13"/>
                <c:pt idx="0">
                  <c:v>0</c:v>
                </c:pt>
                <c:pt idx="1">
                  <c:v>-1.5100000000000016</c:v>
                </c:pt>
                <c:pt idx="2">
                  <c:v>-1.2950000000000017</c:v>
                </c:pt>
                <c:pt idx="3">
                  <c:v>-1.4699999999999989</c:v>
                </c:pt>
                <c:pt idx="4">
                  <c:v>-1.0900000000000034</c:v>
                </c:pt>
                <c:pt idx="5">
                  <c:v>-2.4200000000000159</c:v>
                </c:pt>
                <c:pt idx="6">
                  <c:v>-3.6000000000000227</c:v>
                </c:pt>
                <c:pt idx="7">
                  <c:v>-4.6299999999999955</c:v>
                </c:pt>
                <c:pt idx="8">
                  <c:v>-4.9099999999999682</c:v>
                </c:pt>
                <c:pt idx="9">
                  <c:v>-5.9199999999999591</c:v>
                </c:pt>
                <c:pt idx="10">
                  <c:v>-6.1299999999999955</c:v>
                </c:pt>
                <c:pt idx="11">
                  <c:v>-5.8799999999999955</c:v>
                </c:pt>
                <c:pt idx="12">
                  <c:v>-6.3700000000000045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2-4821-8854-7407E62A25F7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RITHERM'!$A$9:$A$21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xVal>
          <c:yVal>
            <c:numRef>
              <c:f>'[1]VERIFICACIÓN RITHERM'!$K$9:$K$21</c:f>
              <c:numCache>
                <c:formatCode>General</c:formatCode>
                <c:ptCount val="13"/>
                <c:pt idx="0">
                  <c:v>0.1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82-4821-8854-7407E62A25F7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RITHERM'!$A$9:$A$21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xVal>
          <c:yVal>
            <c:numRef>
              <c:f>'[1]VERIFICACIÓN RITHERM'!$L$9:$L$21</c:f>
              <c:numCache>
                <c:formatCode>General</c:formatCode>
                <c:ptCount val="13"/>
                <c:pt idx="0">
                  <c:v>-0.1</c:v>
                </c:pt>
                <c:pt idx="1">
                  <c:v>-2</c:v>
                </c:pt>
                <c:pt idx="2">
                  <c:v>-2</c:v>
                </c:pt>
                <c:pt idx="3">
                  <c:v>-3</c:v>
                </c:pt>
                <c:pt idx="4">
                  <c:v>-6</c:v>
                </c:pt>
                <c:pt idx="5">
                  <c:v>-9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-12</c:v>
                </c:pt>
                <c:pt idx="12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82-4821-8854-7407E62A2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'VERIFICACIÓN RITHERM'!$A$9:$A$16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'[1]VERIFICACIÓN RITHERM'!$J$27:$J$34</c:f>
              <c:numCache>
                <c:formatCode>General</c:formatCode>
                <c:ptCount val="8"/>
                <c:pt idx="0">
                  <c:v>1</c:v>
                </c:pt>
                <c:pt idx="1">
                  <c:v>2.13</c:v>
                </c:pt>
                <c:pt idx="2">
                  <c:v>4.26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7-4A49-9A1C-5B0925E5189E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'[1]VERIFICACIÓN RITHERM'!$A$9:$A$16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'[1]VERIFICACIÓN RITHERM'!$K$27:$K$34</c:f>
              <c:numCache>
                <c:formatCode>General</c:formatCode>
                <c:ptCount val="8"/>
                <c:pt idx="0">
                  <c:v>-1</c:v>
                </c:pt>
                <c:pt idx="1">
                  <c:v>-2.13</c:v>
                </c:pt>
                <c:pt idx="2">
                  <c:v>-4.26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B7-4A49-9A1C-5B0925E51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434800"/>
        <c:axId val="1534431440"/>
      </c:lineChart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RITHERM'!$A$9:$A$16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RITHERM'!$G$36:$G$43</c:f>
              <c:numCache>
                <c:formatCode>General</c:formatCode>
                <c:ptCount val="8"/>
                <c:pt idx="0">
                  <c:v>0</c:v>
                </c:pt>
                <c:pt idx="1">
                  <c:v>-0.16999999999998749</c:v>
                </c:pt>
                <c:pt idx="2">
                  <c:v>-0.42999999999994998</c:v>
                </c:pt>
                <c:pt idx="3">
                  <c:v>0.49000000000000909</c:v>
                </c:pt>
                <c:pt idx="4">
                  <c:v>0.49000000000000909</c:v>
                </c:pt>
                <c:pt idx="5">
                  <c:v>0.31999999999993634</c:v>
                </c:pt>
                <c:pt idx="6">
                  <c:v>0.17000000000007276</c:v>
                </c:pt>
                <c:pt idx="7">
                  <c:v>-0.59000000000003183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B7-4A49-9A1C-5B0925E5189E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RITHERM'!$A$9:$A$16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RITHERM'!$H$36:$H$43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B7-4A49-9A1C-5B0925E51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RITHERM'!$A$9:$A$16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C0B7-4A49-9A1C-5B0925E5189E}"/>
                  </c:ext>
                </c:extLst>
              </c15:ser>
            </c15:filteredScatterSeries>
          </c:ext>
        </c:extLst>
      </c:scatterChart>
      <c:cat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auto val="1"/>
        <c:lblAlgn val="ctr"/>
        <c:lblOffset val="100"/>
        <c:noMultiLvlLbl val="1"/>
      </c:cat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Especificación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 manómetro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APPLISENS'!$E$9:$E$20</c:f>
                <c:numCache>
                  <c:formatCode>General</c:formatCode>
                  <c:ptCount val="12"/>
                  <c:pt idx="0">
                    <c:v>8.3000000000000001E-3</c:v>
                  </c:pt>
                  <c:pt idx="1">
                    <c:v>0.5</c:v>
                  </c:pt>
                  <c:pt idx="2">
                    <c:v>1.4</c:v>
                  </c:pt>
                  <c:pt idx="3">
                    <c:v>0.68</c:v>
                  </c:pt>
                  <c:pt idx="4">
                    <c:v>0.85</c:v>
                  </c:pt>
                  <c:pt idx="5">
                    <c:v>0.32</c:v>
                  </c:pt>
                  <c:pt idx="6">
                    <c:v>0.7</c:v>
                  </c:pt>
                  <c:pt idx="7">
                    <c:v>0.59</c:v>
                  </c:pt>
                  <c:pt idx="8">
                    <c:v>0.54</c:v>
                  </c:pt>
                  <c:pt idx="9">
                    <c:v>0.34</c:v>
                  </c:pt>
                  <c:pt idx="10">
                    <c:v>0.91</c:v>
                  </c:pt>
                  <c:pt idx="11">
                    <c:v>0.56999999999999995</c:v>
                  </c:pt>
                </c:numCache>
              </c:numRef>
            </c:plus>
            <c:minus>
              <c:numRef>
                <c:f>'VERIFICACIÓN APPLISENS'!$E$9:$E$20</c:f>
                <c:numCache>
                  <c:formatCode>General</c:formatCode>
                  <c:ptCount val="12"/>
                  <c:pt idx="0">
                    <c:v>8.3000000000000001E-3</c:v>
                  </c:pt>
                  <c:pt idx="1">
                    <c:v>0.5</c:v>
                  </c:pt>
                  <c:pt idx="2">
                    <c:v>1.4</c:v>
                  </c:pt>
                  <c:pt idx="3">
                    <c:v>0.68</c:v>
                  </c:pt>
                  <c:pt idx="4">
                    <c:v>0.85</c:v>
                  </c:pt>
                  <c:pt idx="5">
                    <c:v>0.32</c:v>
                  </c:pt>
                  <c:pt idx="6">
                    <c:v>0.7</c:v>
                  </c:pt>
                  <c:pt idx="7">
                    <c:v>0.59</c:v>
                  </c:pt>
                  <c:pt idx="8">
                    <c:v>0.54</c:v>
                  </c:pt>
                  <c:pt idx="9">
                    <c:v>0.34</c:v>
                  </c:pt>
                  <c:pt idx="10">
                    <c:v>0.91</c:v>
                  </c:pt>
                  <c:pt idx="11">
                    <c:v>0.56999999999999995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APPLISENS'!$A$9:$A$20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'[1]VERIFICACIÓN APPLISENS'!$D$9:$D$20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1.8000000000000114</c:v>
                </c:pt>
                <c:pt idx="3">
                  <c:v>2.8899999999999864</c:v>
                </c:pt>
                <c:pt idx="4">
                  <c:v>3.0299999999999727</c:v>
                </c:pt>
                <c:pt idx="5">
                  <c:v>2.6199999999998909</c:v>
                </c:pt>
                <c:pt idx="6">
                  <c:v>5.7699999999999818</c:v>
                </c:pt>
                <c:pt idx="7">
                  <c:v>4.7399999999997817</c:v>
                </c:pt>
                <c:pt idx="8">
                  <c:v>4.6399999999998727</c:v>
                </c:pt>
                <c:pt idx="9">
                  <c:v>4.3499999999999091</c:v>
                </c:pt>
                <c:pt idx="10">
                  <c:v>7.569999999999709</c:v>
                </c:pt>
                <c:pt idx="11">
                  <c:v>9.6499999999996362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5-432F-B21F-051FCDBD1910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APPLISENS'!$A$9:$A$20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'[1]VERIFICACIÓN APPLISENS'!$K$9:$K$20</c:f>
              <c:numCache>
                <c:formatCode>General</c:formatCode>
                <c:ptCount val="12"/>
                <c:pt idx="0">
                  <c:v>0.1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B5-432F-B21F-051FCDBD1910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APPLISENS'!$A$9:$A$20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'[1]VERIFICACIÓN APPLISENS'!$L$9:$L$20</c:f>
              <c:numCache>
                <c:formatCode>General</c:formatCode>
                <c:ptCount val="12"/>
                <c:pt idx="0">
                  <c:v>-0.1</c:v>
                </c:pt>
                <c:pt idx="1">
                  <c:v>-6</c:v>
                </c:pt>
                <c:pt idx="2">
                  <c:v>-12</c:v>
                </c:pt>
                <c:pt idx="3">
                  <c:v>-12</c:v>
                </c:pt>
                <c:pt idx="4">
                  <c:v>-15</c:v>
                </c:pt>
                <c:pt idx="5">
                  <c:v>-20</c:v>
                </c:pt>
                <c:pt idx="6">
                  <c:v>-25</c:v>
                </c:pt>
                <c:pt idx="7">
                  <c:v>-30</c:v>
                </c:pt>
                <c:pt idx="8">
                  <c:v>-35</c:v>
                </c:pt>
                <c:pt idx="9">
                  <c:v>-40</c:v>
                </c:pt>
                <c:pt idx="10">
                  <c:v>-45</c:v>
                </c:pt>
                <c:pt idx="11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B5-432F-B21F-051FCDBD1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Comprobaciones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9578075182867761E-2"/>
          <c:y val="0.11069733989034192"/>
          <c:w val="0.89802717402211651"/>
          <c:h val="0.85249556455177222"/>
        </c:manualLayout>
      </c:layout>
      <c:scatterChart>
        <c:scatterStyle val="smoothMarker"/>
        <c:varyColors val="0"/>
        <c:ser>
          <c:idx val="0"/>
          <c:order val="0"/>
          <c:tx>
            <c:v>0-1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APPLISENS'!$A$9:$A$16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APPLISENS'!$G$35:$G$42</c:f>
              <c:numCache>
                <c:formatCode>General</c:formatCode>
                <c:ptCount val="8"/>
                <c:pt idx="0">
                  <c:v>0.84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0.82999999999992724</c:v>
                </c:pt>
                <c:pt idx="5">
                  <c:v>-0.82999999999992724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0-4AAB-B41A-786D1FD1DFC3}"/>
            </c:ext>
          </c:extLst>
        </c:ser>
        <c:ser>
          <c:idx val="1"/>
          <c:order val="1"/>
          <c:tx>
            <c:v>0-2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'[1]VERIFICACIÓN APPLISENS'!$A$9:$A$16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APPLISENS'!$H$35:$H$42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00-4AAB-B41A-786D1FD1DFC3}"/>
            </c:ext>
          </c:extLst>
        </c:ser>
        <c:ser>
          <c:idx val="3"/>
          <c:order val="3"/>
          <c:tx>
            <c:v>Error superior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APPLISENS'!$A$9:$A$16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APPLISENS'!$J$26:$J$33</c:f>
              <c:numCache>
                <c:formatCode>General</c:formatCode>
                <c:ptCount val="8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6.42</c:v>
                </c:pt>
                <c:pt idx="4">
                  <c:v>8.56</c:v>
                </c:pt>
                <c:pt idx="5">
                  <c:v>10.700000000000001</c:v>
                </c:pt>
                <c:pt idx="6">
                  <c:v>12.84</c:v>
                </c:pt>
                <c:pt idx="7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00-4AAB-B41A-786D1FD1DFC3}"/>
            </c:ext>
          </c:extLst>
        </c:ser>
        <c:ser>
          <c:idx val="4"/>
          <c:order val="4"/>
          <c:tx>
            <c:v>Error Inferior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APPLISENS'!$A$9:$A$16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APPLISENS'!$K$26:$K$33</c:f>
              <c:numCache>
                <c:formatCode>General</c:formatCode>
                <c:ptCount val="8"/>
                <c:pt idx="0">
                  <c:v>-1</c:v>
                </c:pt>
                <c:pt idx="1">
                  <c:v>-6</c:v>
                </c:pt>
                <c:pt idx="2">
                  <c:v>-6</c:v>
                </c:pt>
                <c:pt idx="3">
                  <c:v>-6.42</c:v>
                </c:pt>
                <c:pt idx="4">
                  <c:v>-8.56</c:v>
                </c:pt>
                <c:pt idx="5">
                  <c:v>-10.700000000000001</c:v>
                </c:pt>
                <c:pt idx="6">
                  <c:v>-12.84</c:v>
                </c:pt>
                <c:pt idx="7">
                  <c:v>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00-4AAB-B41A-786D1FD1D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34800"/>
        <c:axId val="15344314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2-ene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'[1]VERIFICACIÓN APPLISENS'!$A$9:$A$16</c15:sqref>
                        </c15:formulaRef>
                      </c:ext>
                    </c:extLst>
                    <c:strCach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'[1]VERIFICACIÓN RITHERM'!#REF!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2900-4AAB-B41A-786D1FD1DFC3}"/>
                  </c:ext>
                </c:extLst>
              </c15:ser>
            </c15:filteredScatterSeries>
          </c:ext>
        </c:extLst>
      </c:scatterChart>
      <c:valAx>
        <c:axId val="15344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1440"/>
        <c:crosses val="autoZero"/>
        <c:crossBetween val="midCat"/>
      </c:valAx>
      <c:valAx>
        <c:axId val="1534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VST 2'!$F$10:$F$17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'VERIFICACIÓN VST 2'!$F$10:$F$17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2'!$F$10:$F$17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D-49C4-BC17-8CB35422C998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2'!$L$10:$L$17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2D-49C4-BC17-8CB35422C998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2'!$M$10:$M$17</c:f>
              <c:numCache>
                <c:formatCode>General</c:formatCode>
                <c:ptCount val="8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2D-49C4-BC17-8CB35422C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2'!$F$49:$F$56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5-4E74-82AE-657AD7B3F1C3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2'!$L$49:$L$56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5-4E74-82AE-657AD7B3F1C3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2'!$M$49:$M$56</c:f>
              <c:numCache>
                <c:formatCode>General</c:formatCode>
                <c:ptCount val="8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A5-4E74-82AE-657AD7B3F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VST 2'!$F$10:$F$17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'VERIFICACIÓN VST 2'!$F$10:$F$17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2'!$F$89:$F$96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B-449D-BFAC-EBAC9490AE9B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2'!$L$89:$L$96</c:f>
              <c:numCache>
                <c:formatCode>General</c:formatCode>
                <c:ptCount val="8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B-449D-BFAC-EBAC9490AE9B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2'!$A$10:$A$17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2'!$M$89:$M$96</c:f>
              <c:numCache>
                <c:formatCode>General</c:formatCode>
                <c:ptCount val="8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-40</c:v>
                </c:pt>
                <c:pt idx="7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8B-449D-BFAC-EBAC9490A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'VERIFICACIÓN VST 3'!$F$10:$F$17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'VERIFICACIÓN VST 3'!$F$10:$F$17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3'!$F$10:$F$17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3-41CA-A36A-B55F40EC7353}"/>
            </c:ext>
          </c:extLst>
        </c:ser>
        <c:ser>
          <c:idx val="1"/>
          <c:order val="1"/>
          <c:tx>
            <c:v>EMP Superior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3'!$L$10:$L$17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3-41CA-A36A-B55F40EC7353}"/>
            </c:ext>
          </c:extLst>
        </c:ser>
        <c:ser>
          <c:idx val="2"/>
          <c:order val="2"/>
          <c:tx>
            <c:v>EMP inferior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3'!$M$10:$M$17</c:f>
              <c:numCache>
                <c:formatCode>General</c:formatCode>
                <c:ptCount val="8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33-41CA-A36A-B55F40EC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3'!$F$50:$F$57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E-43D3-B5BD-A749448FE8A8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3'!$L$50:$L$57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E-43D3-B5BD-A749448FE8A8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3'!$M$50:$M$57</c:f>
              <c:numCache>
                <c:formatCode>General</c:formatCode>
                <c:ptCount val="8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6E-43D3-B5BD-A749448FE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Exactitud de medición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3'!$F$90:$F$97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9-4374-BFB6-E60763C28695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3'!$L$90:$L$97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9-4374-BFB6-E60763C28695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strRef>
              <c:f>'[1]VERIFICACIÓN VST 3'!$A$10:$A$17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'[1]VERIFICACIÓN VST 3'!$M$90:$M$97</c:f>
              <c:numCache>
                <c:formatCode>General</c:formatCode>
                <c:ptCount val="8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9-4374-BFB6-E60763C28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96736"/>
        <c:axId val="1763037552"/>
      </c:scatterChart>
      <c:valAx>
        <c:axId val="1998096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1763037552"/>
        <c:crosses val="autoZero"/>
        <c:crossBetween val="midCat"/>
      </c:valAx>
      <c:valAx>
        <c:axId val="1763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Desviación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80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687478</xdr:colOff>
      <xdr:row>0</xdr:row>
      <xdr:rowOff>15265</xdr:rowOff>
    </xdr:from>
    <xdr:to>
      <xdr:col>1</xdr:col>
      <xdr:colOff>2590800</xdr:colOff>
      <xdr:row>3</xdr:row>
      <xdr:rowOff>179809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44B04757-1874-44C3-87C6-80550131B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478" y="15265"/>
          <a:ext cx="1903322" cy="917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524494</xdr:colOff>
      <xdr:row>3</xdr:row>
      <xdr:rowOff>132134</xdr:rowOff>
    </xdr:from>
    <xdr:to>
      <xdr:col>19</xdr:col>
      <xdr:colOff>618160</xdr:colOff>
      <xdr:row>16</xdr:row>
      <xdr:rowOff>248145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A55CF1-DEB0-4514-8F37-544853676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405740</xdr:colOff>
      <xdr:row>4</xdr:row>
      <xdr:rowOff>142030</xdr:rowOff>
    </xdr:from>
    <xdr:to>
      <xdr:col>19</xdr:col>
      <xdr:colOff>499406</xdr:colOff>
      <xdr:row>17</xdr:row>
      <xdr:rowOff>247651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AF243E-90F1-4855-B5F7-D65BB182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3873</xdr:colOff>
      <xdr:row>19</xdr:row>
      <xdr:rowOff>139659</xdr:rowOff>
    </xdr:from>
    <xdr:to>
      <xdr:col>15</xdr:col>
      <xdr:colOff>733741</xdr:colOff>
      <xdr:row>36</xdr:row>
      <xdr:rowOff>91690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D9C88D-4C66-43B3-B9AF-590350A95A45}"/>
            </a:ext>
            <a:ext uri="{147F2762-F138-4A5C-976F-8EAC2B608ADB}">
              <a16:predDERef xmlns:a16="http://schemas.microsoft.com/office/drawing/2014/main" pred="{17AF243E-90F1-4855-B5F7-D65BB182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405740</xdr:colOff>
      <xdr:row>4</xdr:row>
      <xdr:rowOff>142030</xdr:rowOff>
    </xdr:from>
    <xdr:to>
      <xdr:col>19</xdr:col>
      <xdr:colOff>499406</xdr:colOff>
      <xdr:row>17</xdr:row>
      <xdr:rowOff>247651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F565E8-4E38-4734-AA68-6602A46B0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4245</xdr:colOff>
      <xdr:row>18</xdr:row>
      <xdr:rowOff>161925</xdr:rowOff>
    </xdr:from>
    <xdr:to>
      <xdr:col>15</xdr:col>
      <xdr:colOff>743638</xdr:colOff>
      <xdr:row>35</xdr:row>
      <xdr:rowOff>113956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D7EAA9-7CD8-41AD-A0A4-84272E0F5E42}"/>
            </a:ext>
            <a:ext uri="{147F2762-F138-4A5C-976F-8EAC2B608ADB}">
              <a16:predDERef xmlns:a16="http://schemas.microsoft.com/office/drawing/2014/main" pred="{ACF565E8-4E38-4734-AA68-6602A46B0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405740</xdr:colOff>
      <xdr:row>4</xdr:row>
      <xdr:rowOff>142030</xdr:rowOff>
    </xdr:from>
    <xdr:to>
      <xdr:col>19</xdr:col>
      <xdr:colOff>499406</xdr:colOff>
      <xdr:row>17</xdr:row>
      <xdr:rowOff>247651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12AF0-A740-4317-99DF-3382F7239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4245</xdr:colOff>
      <xdr:row>18</xdr:row>
      <xdr:rowOff>161925</xdr:rowOff>
    </xdr:from>
    <xdr:to>
      <xdr:col>15</xdr:col>
      <xdr:colOff>743638</xdr:colOff>
      <xdr:row>35</xdr:row>
      <xdr:rowOff>113956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138B36-C7CE-4C9C-8D55-A28B10BA3F92}"/>
            </a:ext>
            <a:ext uri="{147F2762-F138-4A5C-976F-8EAC2B608ADB}">
              <a16:predDERef xmlns:a16="http://schemas.microsoft.com/office/drawing/2014/main" pred="{C3412AF0-A740-4317-99DF-3382F7239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4245</xdr:colOff>
      <xdr:row>19</xdr:row>
      <xdr:rowOff>161925</xdr:rowOff>
    </xdr:from>
    <xdr:to>
      <xdr:col>15</xdr:col>
      <xdr:colOff>743638</xdr:colOff>
      <xdr:row>36</xdr:row>
      <xdr:rowOff>113956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BCA4AA-CE24-4FD1-85FE-04F2326F9181}"/>
            </a:ext>
            <a:ext uri="{147F2762-F138-4A5C-976F-8EAC2B608ADB}">
              <a16:predDERef xmlns:a16="http://schemas.microsoft.com/office/drawing/2014/main" pred="{DC3175C1-324C-4E0F-82D1-85E50E5CC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762610</xdr:colOff>
      <xdr:row>4</xdr:row>
      <xdr:rowOff>178633</xdr:rowOff>
    </xdr:from>
    <xdr:to>
      <xdr:col>19</xdr:col>
      <xdr:colOff>724872</xdr:colOff>
      <xdr:row>20</xdr:row>
      <xdr:rowOff>7712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B14034-8C9D-4FB8-BBDF-9C466BEF1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554182</xdr:colOff>
      <xdr:row>50</xdr:row>
      <xdr:rowOff>19050</xdr:rowOff>
    </xdr:from>
    <xdr:to>
      <xdr:col>18</xdr:col>
      <xdr:colOff>575748</xdr:colOff>
      <xdr:row>50</xdr:row>
      <xdr:rowOff>27971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E25137-5D40-4E44-B66D-BB76FA994373}"/>
            </a:ext>
            <a:ext uri="{147F2762-F138-4A5C-976F-8EAC2B608ADB}">
              <a16:predDERef xmlns:a16="http://schemas.microsoft.com/office/drawing/2014/main" pred="{08B14034-8C9D-4FB8-BBDF-9C466BEF1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963975</xdr:colOff>
      <xdr:row>22</xdr:row>
      <xdr:rowOff>109136</xdr:rowOff>
    </xdr:from>
    <xdr:to>
      <xdr:col>15</xdr:col>
      <xdr:colOff>550843</xdr:colOff>
      <xdr:row>39</xdr:row>
      <xdr:rowOff>52330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BAFCC7-4390-4E2D-983F-6B9A653789FF}"/>
            </a:ext>
            <a:ext uri="{147F2762-F138-4A5C-976F-8EAC2B608ADB}">
              <a16:predDERef xmlns:a16="http://schemas.microsoft.com/office/drawing/2014/main" pred="{25E25137-5D40-4E44-B66D-BB76FA994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762610</xdr:colOff>
      <xdr:row>4</xdr:row>
      <xdr:rowOff>169108</xdr:rowOff>
    </xdr:from>
    <xdr:to>
      <xdr:col>19</xdr:col>
      <xdr:colOff>724872</xdr:colOff>
      <xdr:row>17</xdr:row>
      <xdr:rowOff>264887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1AC39B-506D-48B0-9552-77AF6C954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761999</xdr:colOff>
      <xdr:row>18</xdr:row>
      <xdr:rowOff>171105</xdr:rowOff>
    </xdr:from>
    <xdr:to>
      <xdr:col>15</xdr:col>
      <xdr:colOff>348867</xdr:colOff>
      <xdr:row>35</xdr:row>
      <xdr:rowOff>123136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62120E-BE1B-4433-A482-532E81315032}"/>
            </a:ext>
            <a:ext uri="{147F2762-F138-4A5C-976F-8EAC2B608ADB}">
              <a16:predDERef xmlns:a16="http://schemas.microsoft.com/office/drawing/2014/main" pred="{9D1AC39B-506D-48B0-9552-77AF6C954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762610</xdr:colOff>
      <xdr:row>4</xdr:row>
      <xdr:rowOff>169108</xdr:rowOff>
    </xdr:from>
    <xdr:to>
      <xdr:col>19</xdr:col>
      <xdr:colOff>724872</xdr:colOff>
      <xdr:row>20</xdr:row>
      <xdr:rowOff>264887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60B579-E489-454D-983B-4B1F5047E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1147880</xdr:colOff>
      <xdr:row>22</xdr:row>
      <xdr:rowOff>144145</xdr:rowOff>
    </xdr:from>
    <xdr:to>
      <xdr:col>15</xdr:col>
      <xdr:colOff>753798</xdr:colOff>
      <xdr:row>39</xdr:row>
      <xdr:rowOff>96176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37F3E0-0B5C-49B5-9C10-AB7148A12EFD}"/>
            </a:ext>
            <a:ext uri="{147F2762-F138-4A5C-976F-8EAC2B608ADB}">
              <a16:predDERef xmlns:a16="http://schemas.microsoft.com/office/drawing/2014/main" pred="{E660B579-E489-454D-983B-4B1F5047E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762610</xdr:colOff>
      <xdr:row>4</xdr:row>
      <xdr:rowOff>169108</xdr:rowOff>
    </xdr:from>
    <xdr:to>
      <xdr:col>19</xdr:col>
      <xdr:colOff>724872</xdr:colOff>
      <xdr:row>19</xdr:row>
      <xdr:rowOff>264887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48EA22-AE12-4980-B725-E2E010452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4245</xdr:colOff>
      <xdr:row>20</xdr:row>
      <xdr:rowOff>161925</xdr:rowOff>
    </xdr:from>
    <xdr:to>
      <xdr:col>15</xdr:col>
      <xdr:colOff>743638</xdr:colOff>
      <xdr:row>37</xdr:row>
      <xdr:rowOff>113956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BE6AAA-6DED-44AA-BD9F-A3617055C7B8}"/>
            </a:ext>
            <a:ext uri="{147F2762-F138-4A5C-976F-8EAC2B608ADB}">
              <a16:predDERef xmlns:a16="http://schemas.microsoft.com/office/drawing/2014/main" pred="{9448EA22-AE12-4980-B725-E2E010452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682831</xdr:colOff>
      <xdr:row>4</xdr:row>
      <xdr:rowOff>174561</xdr:rowOff>
    </xdr:from>
    <xdr:to>
      <xdr:col>19</xdr:col>
      <xdr:colOff>232212</xdr:colOff>
      <xdr:row>16</xdr:row>
      <xdr:rowOff>247650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F28D7D-4E8C-435F-868D-261607DA1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534390</xdr:colOff>
      <xdr:row>43</xdr:row>
      <xdr:rowOff>165037</xdr:rowOff>
    </xdr:from>
    <xdr:to>
      <xdr:col>21</xdr:col>
      <xdr:colOff>103564</xdr:colOff>
      <xdr:row>55</xdr:row>
      <xdr:rowOff>248021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8C2C1B-D808-4777-BB4D-86E1C4C50600}"/>
            </a:ext>
            <a:ext uri="{147F2762-F138-4A5C-976F-8EAC2B608ADB}">
              <a16:predDERef xmlns:a16="http://schemas.microsoft.com/office/drawing/2014/main" pred="{B3F28D7D-4E8C-435F-868D-261607DA1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566478</xdr:colOff>
      <xdr:row>83</xdr:row>
      <xdr:rowOff>142770</xdr:rowOff>
    </xdr:from>
    <xdr:to>
      <xdr:col>21</xdr:col>
      <xdr:colOff>182732</xdr:colOff>
      <xdr:row>95</xdr:row>
      <xdr:rowOff>243319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7EF3F0-8D33-47D2-BE3E-4215D7F44D60}"/>
            </a:ext>
            <a:ext uri="{147F2762-F138-4A5C-976F-8EAC2B608ADB}">
              <a16:predDERef xmlns:a16="http://schemas.microsoft.com/office/drawing/2014/main" pred="{938C2C1B-D808-4777-BB4D-86E1C4C5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620486</xdr:colOff>
      <xdr:row>4</xdr:row>
      <xdr:rowOff>174561</xdr:rowOff>
    </xdr:from>
    <xdr:to>
      <xdr:col>21</xdr:col>
      <xdr:colOff>225286</xdr:colOff>
      <xdr:row>17</xdr:row>
      <xdr:rowOff>2721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ECDCEC-D753-4F52-A165-12C839A84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685230</xdr:colOff>
      <xdr:row>44</xdr:row>
      <xdr:rowOff>132874</xdr:rowOff>
    </xdr:from>
    <xdr:to>
      <xdr:col>21</xdr:col>
      <xdr:colOff>301484</xdr:colOff>
      <xdr:row>56</xdr:row>
      <xdr:rowOff>238742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4C4D08-D92F-451B-9545-3B5232533659}"/>
            </a:ext>
            <a:ext uri="{147F2762-F138-4A5C-976F-8EAC2B608ADB}">
              <a16:predDERef xmlns:a16="http://schemas.microsoft.com/office/drawing/2014/main" pred="{7FECDCEC-D753-4F52-A165-12C839A84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615958</xdr:colOff>
      <xdr:row>84</xdr:row>
      <xdr:rowOff>165037</xdr:rowOff>
    </xdr:from>
    <xdr:to>
      <xdr:col>21</xdr:col>
      <xdr:colOff>232212</xdr:colOff>
      <xdr:row>96</xdr:row>
      <xdr:rowOff>263112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BA986A-073E-4BAB-B6D7-F524C795B367}"/>
            </a:ext>
            <a:ext uri="{147F2762-F138-4A5C-976F-8EAC2B608ADB}">
              <a16:predDERef xmlns:a16="http://schemas.microsoft.com/office/drawing/2014/main" pred="{274C4D08-D92F-451B-9545-3B5232533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687478</xdr:colOff>
      <xdr:row>0</xdr:row>
      <xdr:rowOff>15265</xdr:rowOff>
    </xdr:from>
    <xdr:to>
      <xdr:col>1</xdr:col>
      <xdr:colOff>2590800</xdr:colOff>
      <xdr:row>3</xdr:row>
      <xdr:rowOff>179809</xdr:rowOff>
    </xdr:to>
    <xdr:pic>
      <xdr:nvPicPr>
        <xdr:cNvPr id="2" name="Imagen 10">
          <a:extLst>
            <a:ext uri="{FF2B5EF4-FFF2-40B4-BE49-F238E27FC236}">
              <a16:creationId xmlns:a16="http://schemas.microsoft.com/office/drawing/2014/main" id="{FE4867D9-0851-4DB9-87A5-FE605B046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553" y="15265"/>
          <a:ext cx="1903322" cy="917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485776</xdr:colOff>
      <xdr:row>0</xdr:row>
      <xdr:rowOff>104775</xdr:rowOff>
    </xdr:from>
    <xdr:ext cx="1476374" cy="766091"/>
    <xdr:pic>
      <xdr:nvPicPr>
        <xdr:cNvPr id="2" name="Imagen 1" descr="logo VALSER FINAL png..png">
          <a:extLst>
            <a:ext uri="{FF2B5EF4-FFF2-40B4-BE49-F238E27FC236}">
              <a16:creationId xmlns:a16="http://schemas.microsoft.com/office/drawing/2014/main" id="{0BCF13B5-4DAB-427B-9CF0-88699E52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104775"/>
          <a:ext cx="1476374" cy="766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228600</xdr:colOff>
      <xdr:row>18</xdr:row>
      <xdr:rowOff>95250</xdr:rowOff>
    </xdr:from>
    <xdr:ext cx="1078865" cy="534670"/>
    <xdr:pic>
      <xdr:nvPicPr>
        <xdr:cNvPr id="3" name="Imagen 2">
          <a:extLst>
            <a:ext uri="{FF2B5EF4-FFF2-40B4-BE49-F238E27FC236}">
              <a16:creationId xmlns:a16="http://schemas.microsoft.com/office/drawing/2014/main" id="{FE8D78CA-9E4D-4B00-8741-169E74A18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77125" y="4629150"/>
          <a:ext cx="1078865" cy="534670"/>
        </a:xfrm>
        <a:prstGeom prst="rect">
          <a:avLst/>
        </a:prstGeom>
      </xdr:spPr>
    </xdr:pic>
    <xdr:clientData/>
  </xdr:oneCellAnchor>
  <xdr:oneCellAnchor>
    <xdr:from>
      <xdr:col>2</xdr:col>
      <xdr:colOff>561975</xdr:colOff>
      <xdr:row>18</xdr:row>
      <xdr:rowOff>57150</xdr:rowOff>
    </xdr:from>
    <xdr:ext cx="1800225" cy="533400"/>
    <xdr:pic>
      <xdr:nvPicPr>
        <xdr:cNvPr id="5" name="Imagen 4">
          <a:extLst>
            <a:ext uri="{FF2B5EF4-FFF2-40B4-BE49-F238E27FC236}">
              <a16:creationId xmlns:a16="http://schemas.microsoft.com/office/drawing/2014/main" id="{D7E8739F-2836-4E45-8197-2F9C9FF7A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4591050"/>
          <a:ext cx="1800225" cy="5334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847726</xdr:colOff>
      <xdr:row>18</xdr:row>
      <xdr:rowOff>19050</xdr:rowOff>
    </xdr:from>
    <xdr:to>
      <xdr:col>1</xdr:col>
      <xdr:colOff>419101</xdr:colOff>
      <xdr:row>18</xdr:row>
      <xdr:rowOff>645729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69D2B4-A974-AE3F-8F03-E547F93E8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2" t="7849" r="6072" b="5358"/>
        <a:stretch/>
      </xdr:blipFill>
      <xdr:spPr>
        <a:xfrm>
          <a:off x="847726" y="4552950"/>
          <a:ext cx="1009650" cy="6266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lserindustriales-my.sharepoint.com/personal/proyectos_valserindustriales_com/Documents/DOCUMENTOS%20-%20ISO-IEC%2017025-2017/1.%20DOCUMENTOS%20DEL%20SISTEMA%20DE%20GESTI&#211;N%20DEL%20LABORATORIO/MODIFICADOS/OYS-FO-42%20CONTROL%20CALIBRACI&#211;N%20EQUIPOS%20E%20INSTRUMENTOS.xlsx" TargetMode="External"/><Relationship Id="rId2" Type="http://schemas.microsoft.com/office/2019/04/relationships/externalLinkLongPath" Target="/personal/proyectos_valserindustriales_com/Documents/DOCUMENTOS%20-%20ISO-IEC%2017025-2017/1.%20DOCUMENTOS%20DEL%20SISTEMA%20DE%20GESTI&#211;N%20DEL%20LABORATORIO/MODIFICADOS/OYS-FO-42%20CONTROL%20CALIBRACI&#211;N%20EQUIPOS%20E%20INSTRUMENTOS.xlsx?58243E67" TargetMode="External"/><Relationship Id="rId1" Type="http://schemas.openxmlformats.org/officeDocument/2006/relationships/externalLinkPath" Target="file:///\\58243E67\OYS-FO-42%20CONTROL%20CALIBRACI&#211;N%20EQUIPOS%20E%20INSTRU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cm3oSFFswk6v6AExNOuXtkpMivLJC9FMke7oosCf2rtkj1oN_isPTYqeMxIYO24b" itemId="01TKREZQBJNJLTXZ2L3JEJ45QWOZ3QOEZ5">
      <xxl21:absoluteUrl r:id="rId3"/>
    </xxl21:alternateUrls>
    <sheetNames>
      <sheetName val="CONTROL CALIBRACIONES"/>
      <sheetName val="VERIFICACIÓN MAN-001"/>
      <sheetName val="VERIFICACIÓN CRYSTAL 1k"/>
      <sheetName val="VERIFICACIÓN CRYSTAL 5k"/>
      <sheetName val="VERIFICACIÓN ADDITEL"/>
      <sheetName val="VERIFICACIÓN DANFOSS 870 "/>
      <sheetName val="VERIFICACIÓN DANFOSS 3625"/>
      <sheetName val="VERIFICACIÓN DANFOSS 145 "/>
      <sheetName val="VERIFICACIÓN RITHERM"/>
      <sheetName val="VERIFICACIÓN APPLISENS"/>
      <sheetName val="VERIFICACIÓN VST 2"/>
      <sheetName val="VERIFICACIÓN VST 3"/>
      <sheetName val="DERIVA"/>
      <sheetName val="OBSOLETOS"/>
      <sheetName val="CONTROL DE CAMBIOS"/>
    </sheetNames>
    <sheetDataSet>
      <sheetData sheetId="0"/>
      <sheetData sheetId="1">
        <row r="8">
          <cell r="A8">
            <v>1</v>
          </cell>
          <cell r="D8">
            <v>-0.5</v>
          </cell>
          <cell r="K8">
            <v>4.5</v>
          </cell>
          <cell r="L8">
            <v>-4.5</v>
          </cell>
        </row>
        <row r="9">
          <cell r="A9">
            <v>2</v>
          </cell>
          <cell r="D9">
            <v>1.3999999999999773</v>
          </cell>
          <cell r="K9">
            <v>6</v>
          </cell>
          <cell r="L9">
            <v>-6</v>
          </cell>
        </row>
        <row r="10">
          <cell r="A10">
            <v>3</v>
          </cell>
          <cell r="D10">
            <v>1.6000000000000227</v>
          </cell>
          <cell r="K10">
            <v>6</v>
          </cell>
          <cell r="L10">
            <v>-6</v>
          </cell>
        </row>
        <row r="11">
          <cell r="A11">
            <v>4</v>
          </cell>
          <cell r="D11">
            <v>9.9999999999909051E-2</v>
          </cell>
          <cell r="K11">
            <v>6</v>
          </cell>
          <cell r="L11">
            <v>-6</v>
          </cell>
        </row>
        <row r="12">
          <cell r="A12">
            <v>5</v>
          </cell>
          <cell r="D12">
            <v>1.2999999999999545</v>
          </cell>
          <cell r="K12">
            <v>7.5</v>
          </cell>
          <cell r="L12">
            <v>-7.5</v>
          </cell>
        </row>
        <row r="13">
          <cell r="A13">
            <v>6</v>
          </cell>
          <cell r="D13">
            <v>0.40000000000009095</v>
          </cell>
          <cell r="K13">
            <v>9</v>
          </cell>
          <cell r="L13">
            <v>-9</v>
          </cell>
        </row>
        <row r="14">
          <cell r="A14">
            <v>7</v>
          </cell>
          <cell r="D14">
            <v>-0.90000000000009095</v>
          </cell>
          <cell r="K14">
            <v>10.5</v>
          </cell>
          <cell r="L14">
            <v>-10.5</v>
          </cell>
        </row>
        <row r="15">
          <cell r="A15">
            <v>8</v>
          </cell>
          <cell r="D15">
            <v>1.5999999999999091</v>
          </cell>
          <cell r="K15">
            <v>12</v>
          </cell>
          <cell r="L15">
            <v>-12</v>
          </cell>
        </row>
        <row r="16">
          <cell r="A16">
            <v>9</v>
          </cell>
          <cell r="D16">
            <v>1.8000000000001819</v>
          </cell>
          <cell r="K16">
            <v>13.5</v>
          </cell>
          <cell r="L16">
            <v>-13.5</v>
          </cell>
        </row>
        <row r="17">
          <cell r="A17">
            <v>10</v>
          </cell>
          <cell r="D17">
            <v>1.8000000000001819</v>
          </cell>
          <cell r="K17">
            <v>15</v>
          </cell>
          <cell r="L17">
            <v>-15</v>
          </cell>
        </row>
      </sheetData>
      <sheetData sheetId="2">
        <row r="9">
          <cell r="A9">
            <v>2</v>
          </cell>
          <cell r="D9">
            <v>6.0999999999999943E-2</v>
          </cell>
          <cell r="K9">
            <v>1</v>
          </cell>
          <cell r="L9">
            <v>-1</v>
          </cell>
        </row>
        <row r="10">
          <cell r="A10">
            <v>3</v>
          </cell>
          <cell r="D10">
            <v>8.5999999999998522E-2</v>
          </cell>
          <cell r="K10">
            <v>1</v>
          </cell>
          <cell r="L10">
            <v>-1</v>
          </cell>
        </row>
        <row r="11">
          <cell r="A11">
            <v>4</v>
          </cell>
          <cell r="D11">
            <v>8.5999999999998522E-2</v>
          </cell>
          <cell r="K11">
            <v>1.875</v>
          </cell>
          <cell r="L11">
            <v>-1.875</v>
          </cell>
        </row>
        <row r="12">
          <cell r="A12">
            <v>5</v>
          </cell>
          <cell r="D12">
            <v>8.6000000000012733E-2</v>
          </cell>
          <cell r="K12">
            <v>3.75</v>
          </cell>
          <cell r="L12">
            <v>-3.75</v>
          </cell>
        </row>
        <row r="13">
          <cell r="A13">
            <v>6</v>
          </cell>
          <cell r="D13">
            <v>6.0999999999978627E-2</v>
          </cell>
          <cell r="K13">
            <v>6</v>
          </cell>
          <cell r="L13">
            <v>-6</v>
          </cell>
        </row>
        <row r="14">
          <cell r="A14">
            <v>7</v>
          </cell>
          <cell r="D14">
            <v>0.11099999999999</v>
          </cell>
          <cell r="K14">
            <v>6</v>
          </cell>
          <cell r="L14">
            <v>-6</v>
          </cell>
        </row>
        <row r="15">
          <cell r="A15">
            <v>8</v>
          </cell>
          <cell r="D15">
            <v>0.16099999999994452</v>
          </cell>
          <cell r="K15">
            <v>6</v>
          </cell>
          <cell r="L15">
            <v>-6</v>
          </cell>
        </row>
        <row r="16">
          <cell r="A16">
            <v>9</v>
          </cell>
          <cell r="D16">
            <v>0.18600000000003547</v>
          </cell>
          <cell r="K16">
            <v>6</v>
          </cell>
          <cell r="L16">
            <v>-6</v>
          </cell>
        </row>
        <row r="17">
          <cell r="A17">
            <v>10</v>
          </cell>
          <cell r="D17">
            <v>0.18600000000003547</v>
          </cell>
          <cell r="K17">
            <v>6</v>
          </cell>
          <cell r="L17">
            <v>-6</v>
          </cell>
        </row>
        <row r="18">
          <cell r="A18">
            <v>11</v>
          </cell>
          <cell r="D18">
            <v>0.18600000000003547</v>
          </cell>
          <cell r="K18">
            <v>6</v>
          </cell>
          <cell r="L18">
            <v>-6</v>
          </cell>
        </row>
      </sheetData>
      <sheetData sheetId="3">
        <row r="9">
          <cell r="A9">
            <v>1</v>
          </cell>
          <cell r="D9">
            <v>0.36000000000001364</v>
          </cell>
          <cell r="K9">
            <v>6</v>
          </cell>
          <cell r="L9">
            <v>-6</v>
          </cell>
        </row>
        <row r="10">
          <cell r="A10">
            <v>2</v>
          </cell>
          <cell r="D10">
            <v>0.44000000000005457</v>
          </cell>
          <cell r="K10">
            <v>6</v>
          </cell>
          <cell r="L10">
            <v>-6</v>
          </cell>
        </row>
        <row r="11">
          <cell r="A11">
            <v>3</v>
          </cell>
          <cell r="D11">
            <v>0.41000000000008185</v>
          </cell>
          <cell r="K11">
            <v>7.4979499999999994</v>
          </cell>
          <cell r="L11">
            <v>-7.4979499999999994</v>
          </cell>
        </row>
        <row r="12">
          <cell r="A12">
            <v>4</v>
          </cell>
          <cell r="D12">
            <v>0.18000000000006366</v>
          </cell>
          <cell r="K12">
            <v>9.9991000000000003</v>
          </cell>
          <cell r="L12">
            <v>-9.9991000000000003</v>
          </cell>
        </row>
        <row r="13">
          <cell r="A13">
            <v>5</v>
          </cell>
          <cell r="D13">
            <v>0.65000000000009095</v>
          </cell>
          <cell r="K13">
            <v>12.49675</v>
          </cell>
          <cell r="L13">
            <v>-12.49675</v>
          </cell>
        </row>
        <row r="14">
          <cell r="A14">
            <v>6</v>
          </cell>
          <cell r="D14">
            <v>0.42000000000007276</v>
          </cell>
          <cell r="K14">
            <v>14.9979</v>
          </cell>
          <cell r="L14">
            <v>-14.9979</v>
          </cell>
        </row>
        <row r="15">
          <cell r="A15">
            <v>7</v>
          </cell>
          <cell r="D15">
            <v>0.8000000000001819</v>
          </cell>
          <cell r="K15">
            <v>17.495999999999999</v>
          </cell>
          <cell r="L15">
            <v>-17.495999999999999</v>
          </cell>
        </row>
        <row r="16">
          <cell r="A16">
            <v>8</v>
          </cell>
          <cell r="D16">
            <v>0.57000000000016371</v>
          </cell>
          <cell r="K16">
            <v>19.997150000000001</v>
          </cell>
          <cell r="L16">
            <v>-19.997150000000001</v>
          </cell>
        </row>
        <row r="17">
          <cell r="A17">
            <v>9</v>
          </cell>
          <cell r="D17">
            <v>0.96000000000003638</v>
          </cell>
          <cell r="K17">
            <v>22.495200000000001</v>
          </cell>
          <cell r="L17">
            <v>-22.495200000000001</v>
          </cell>
        </row>
        <row r="18">
          <cell r="A18">
            <v>10</v>
          </cell>
          <cell r="D18">
            <v>0.46000000000003638</v>
          </cell>
          <cell r="K18">
            <v>24.997700000000002</v>
          </cell>
          <cell r="L18">
            <v>-24.997700000000002</v>
          </cell>
        </row>
      </sheetData>
      <sheetData sheetId="4">
        <row r="9">
          <cell r="A9">
            <v>1</v>
          </cell>
          <cell r="D9">
            <v>-0.19999999999998863</v>
          </cell>
          <cell r="K9">
            <v>4.5</v>
          </cell>
          <cell r="L9">
            <v>-4.5</v>
          </cell>
        </row>
        <row r="10">
          <cell r="A10">
            <v>2</v>
          </cell>
          <cell r="D10">
            <v>0.20000000000004547</v>
          </cell>
          <cell r="K10">
            <v>6</v>
          </cell>
          <cell r="L10">
            <v>-6</v>
          </cell>
        </row>
        <row r="11">
          <cell r="A11">
            <v>3</v>
          </cell>
          <cell r="D11">
            <v>-0.10000000000002274</v>
          </cell>
          <cell r="K11">
            <v>6</v>
          </cell>
          <cell r="L11">
            <v>-6</v>
          </cell>
        </row>
        <row r="12">
          <cell r="A12">
            <v>4</v>
          </cell>
          <cell r="D12">
            <v>-0.20000000000004547</v>
          </cell>
          <cell r="K12">
            <v>6</v>
          </cell>
          <cell r="L12">
            <v>-6</v>
          </cell>
        </row>
        <row r="13">
          <cell r="A13">
            <v>5</v>
          </cell>
          <cell r="D13">
            <v>-0.20000000000004547</v>
          </cell>
          <cell r="K13">
            <v>7.5</v>
          </cell>
          <cell r="L13">
            <v>-7.5</v>
          </cell>
        </row>
        <row r="14">
          <cell r="A14">
            <v>6</v>
          </cell>
          <cell r="D14">
            <v>0</v>
          </cell>
          <cell r="K14">
            <v>9</v>
          </cell>
          <cell r="L14">
            <v>-9</v>
          </cell>
        </row>
        <row r="15">
          <cell r="A15">
            <v>7</v>
          </cell>
          <cell r="D15">
            <v>0.40000000000009095</v>
          </cell>
          <cell r="K15">
            <v>10.5</v>
          </cell>
          <cell r="L15">
            <v>-10.5</v>
          </cell>
        </row>
        <row r="16">
          <cell r="A16">
            <v>8</v>
          </cell>
          <cell r="D16">
            <v>-9.9999999999909051E-2</v>
          </cell>
          <cell r="K16">
            <v>12</v>
          </cell>
          <cell r="L16">
            <v>-12</v>
          </cell>
        </row>
        <row r="17">
          <cell r="A17">
            <v>9</v>
          </cell>
          <cell r="D17">
            <v>-9.9999999999909051E-2</v>
          </cell>
          <cell r="K17">
            <v>13.5</v>
          </cell>
          <cell r="L17">
            <v>-13.5</v>
          </cell>
        </row>
        <row r="18">
          <cell r="A18">
            <v>10</v>
          </cell>
          <cell r="D18">
            <v>-0.3000000000001819</v>
          </cell>
          <cell r="K18">
            <v>15</v>
          </cell>
          <cell r="L18">
            <v>-15</v>
          </cell>
        </row>
      </sheetData>
      <sheetData sheetId="5">
        <row r="9">
          <cell r="A9">
            <v>1</v>
          </cell>
        </row>
        <row r="10">
          <cell r="A10">
            <v>2</v>
          </cell>
        </row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4">
          <cell r="A14">
            <v>6</v>
          </cell>
        </row>
        <row r="15">
          <cell r="A15">
            <v>7</v>
          </cell>
        </row>
        <row r="16">
          <cell r="A16">
            <v>8</v>
          </cell>
        </row>
        <row r="25">
          <cell r="J25">
            <v>1</v>
          </cell>
          <cell r="K25">
            <v>-1</v>
          </cell>
        </row>
        <row r="26">
          <cell r="J26">
            <v>1.8599999999999999</v>
          </cell>
          <cell r="K26">
            <v>-1.8599999999999999</v>
          </cell>
        </row>
        <row r="27">
          <cell r="J27">
            <v>3.7199999999999998</v>
          </cell>
          <cell r="K27">
            <v>-3.7199999999999998</v>
          </cell>
        </row>
        <row r="28">
          <cell r="J28">
            <v>6</v>
          </cell>
          <cell r="K28">
            <v>-6</v>
          </cell>
        </row>
        <row r="29">
          <cell r="J29">
            <v>6</v>
          </cell>
          <cell r="K29">
            <v>-6</v>
          </cell>
        </row>
        <row r="30">
          <cell r="J30">
            <v>6</v>
          </cell>
          <cell r="K30">
            <v>-6</v>
          </cell>
        </row>
        <row r="31">
          <cell r="J31">
            <v>6</v>
          </cell>
          <cell r="K31">
            <v>-6</v>
          </cell>
        </row>
        <row r="32">
          <cell r="J32">
            <v>6</v>
          </cell>
          <cell r="K32">
            <v>-6</v>
          </cell>
        </row>
        <row r="34">
          <cell r="G34">
            <v>0.01</v>
          </cell>
          <cell r="H34" t="e">
            <v>#VALUE!</v>
          </cell>
        </row>
        <row r="35">
          <cell r="G35">
            <v>-0.14000000000000057</v>
          </cell>
          <cell r="H35" t="e">
            <v>#VALUE!</v>
          </cell>
        </row>
        <row r="36">
          <cell r="G36">
            <v>0</v>
          </cell>
          <cell r="H36" t="e">
            <v>#VALUE!</v>
          </cell>
        </row>
        <row r="37">
          <cell r="G37">
            <v>-0.14999999999997726</v>
          </cell>
          <cell r="H37" t="e">
            <v>#VALUE!</v>
          </cell>
        </row>
        <row r="38">
          <cell r="G38">
            <v>-0.15000000000003411</v>
          </cell>
          <cell r="H38" t="e">
            <v>#VALUE!</v>
          </cell>
        </row>
        <row r="39">
          <cell r="G39">
            <v>0</v>
          </cell>
          <cell r="H39" t="e">
            <v>#VALUE!</v>
          </cell>
        </row>
        <row r="40">
          <cell r="G40">
            <v>0</v>
          </cell>
          <cell r="H40" t="e">
            <v>#VALUE!</v>
          </cell>
        </row>
        <row r="41">
          <cell r="G41">
            <v>-0.14999999999997726</v>
          </cell>
          <cell r="H41" t="e">
            <v>#VALUE!</v>
          </cell>
        </row>
      </sheetData>
      <sheetData sheetId="6">
        <row r="9">
          <cell r="A9">
            <v>1</v>
          </cell>
          <cell r="D9">
            <v>0</v>
          </cell>
          <cell r="K9">
            <v>0.1</v>
          </cell>
          <cell r="L9">
            <v>-0.1</v>
          </cell>
        </row>
        <row r="10">
          <cell r="A10">
            <v>2</v>
          </cell>
          <cell r="D10">
            <v>4.6399999999999864</v>
          </cell>
          <cell r="K10">
            <v>12</v>
          </cell>
          <cell r="L10">
            <v>-12</v>
          </cell>
        </row>
        <row r="11">
          <cell r="A11">
            <v>3</v>
          </cell>
          <cell r="D11">
            <v>7.4900000000000091</v>
          </cell>
          <cell r="K11">
            <v>12</v>
          </cell>
          <cell r="L11">
            <v>-12</v>
          </cell>
        </row>
        <row r="12">
          <cell r="A12">
            <v>4</v>
          </cell>
          <cell r="D12">
            <v>10.059999999999945</v>
          </cell>
          <cell r="K12">
            <v>12</v>
          </cell>
          <cell r="L12">
            <v>-12</v>
          </cell>
        </row>
        <row r="13">
          <cell r="A13">
            <v>5</v>
          </cell>
          <cell r="D13">
            <v>11.440000000000055</v>
          </cell>
          <cell r="K13">
            <v>13.16</v>
          </cell>
          <cell r="L13">
            <v>-13.16</v>
          </cell>
        </row>
        <row r="14">
          <cell r="A14">
            <v>6</v>
          </cell>
          <cell r="D14">
            <v>12.480000000000018</v>
          </cell>
          <cell r="K14">
            <v>16.45</v>
          </cell>
          <cell r="L14">
            <v>-16.45</v>
          </cell>
        </row>
        <row r="15">
          <cell r="A15">
            <v>7</v>
          </cell>
          <cell r="D15">
            <v>12.279999999999973</v>
          </cell>
          <cell r="K15">
            <v>19.740000000000002</v>
          </cell>
          <cell r="L15">
            <v>-19.740000000000002</v>
          </cell>
        </row>
        <row r="16">
          <cell r="A16">
            <v>8</v>
          </cell>
          <cell r="D16">
            <v>12.039999999999964</v>
          </cell>
          <cell r="K16">
            <v>23.03</v>
          </cell>
          <cell r="L16">
            <v>-23.03</v>
          </cell>
        </row>
        <row r="17">
          <cell r="A17">
            <v>9</v>
          </cell>
          <cell r="D17">
            <v>11.570000000000164</v>
          </cell>
          <cell r="K17">
            <v>26.32</v>
          </cell>
          <cell r="L17">
            <v>-26.32</v>
          </cell>
        </row>
        <row r="18">
          <cell r="A18">
            <v>10</v>
          </cell>
          <cell r="D18">
            <v>13.710000000000036</v>
          </cell>
          <cell r="K18">
            <v>29.61</v>
          </cell>
          <cell r="L18">
            <v>-29.61</v>
          </cell>
        </row>
        <row r="19">
          <cell r="A19">
            <v>11</v>
          </cell>
          <cell r="D19">
            <v>13.420000000000073</v>
          </cell>
          <cell r="K19">
            <v>32.9</v>
          </cell>
          <cell r="L19">
            <v>-32.9</v>
          </cell>
        </row>
        <row r="20">
          <cell r="A20">
            <v>12</v>
          </cell>
          <cell r="D20">
            <v>12.809999999999945</v>
          </cell>
          <cell r="K20">
            <v>36.25</v>
          </cell>
          <cell r="L20">
            <v>-36.25</v>
          </cell>
        </row>
        <row r="26">
          <cell r="J26">
            <v>1</v>
          </cell>
          <cell r="K26">
            <v>-1</v>
          </cell>
        </row>
        <row r="27">
          <cell r="J27">
            <v>6</v>
          </cell>
          <cell r="K27">
            <v>-6</v>
          </cell>
        </row>
        <row r="28">
          <cell r="J28">
            <v>6</v>
          </cell>
          <cell r="K28">
            <v>-6</v>
          </cell>
        </row>
        <row r="29">
          <cell r="J29">
            <v>6.42</v>
          </cell>
          <cell r="K29">
            <v>-6.42</v>
          </cell>
        </row>
        <row r="30">
          <cell r="J30">
            <v>8.56</v>
          </cell>
          <cell r="K30">
            <v>-8.56</v>
          </cell>
        </row>
        <row r="31">
          <cell r="J31">
            <v>10.700000000000001</v>
          </cell>
          <cell r="K31">
            <v>-10.700000000000001</v>
          </cell>
        </row>
        <row r="32">
          <cell r="J32">
            <v>12.84</v>
          </cell>
          <cell r="K32">
            <v>-12.84</v>
          </cell>
        </row>
        <row r="33">
          <cell r="J33">
            <v>15</v>
          </cell>
          <cell r="K33">
            <v>-15</v>
          </cell>
        </row>
        <row r="35">
          <cell r="G35">
            <v>0</v>
          </cell>
          <cell r="H35" t="e">
            <v>#VALUE!</v>
          </cell>
        </row>
        <row r="36">
          <cell r="G36">
            <v>0.61000000000001364</v>
          </cell>
          <cell r="H36" t="e">
            <v>#VALUE!</v>
          </cell>
        </row>
        <row r="37">
          <cell r="G37">
            <v>3.0000000000086402E-2</v>
          </cell>
          <cell r="H37" t="e">
            <v>#VALUE!</v>
          </cell>
        </row>
        <row r="38">
          <cell r="G38">
            <v>0</v>
          </cell>
          <cell r="H38" t="e">
            <v>#VALUE!</v>
          </cell>
        </row>
        <row r="39">
          <cell r="G39">
            <v>0.59999999999990905</v>
          </cell>
          <cell r="H39" t="e">
            <v>#VALUE!</v>
          </cell>
        </row>
        <row r="40">
          <cell r="G40">
            <v>0</v>
          </cell>
          <cell r="H40" t="e">
            <v>#VALUE!</v>
          </cell>
        </row>
        <row r="41">
          <cell r="G41">
            <v>0</v>
          </cell>
          <cell r="H41" t="e">
            <v>#VALUE!</v>
          </cell>
        </row>
        <row r="42">
          <cell r="G42">
            <v>0</v>
          </cell>
          <cell r="H42" t="e">
            <v>#VALUE!</v>
          </cell>
        </row>
      </sheetData>
      <sheetData sheetId="7">
        <row r="9">
          <cell r="A9">
            <v>1</v>
          </cell>
          <cell r="D9">
            <v>0</v>
          </cell>
          <cell r="K9">
            <v>0.1</v>
          </cell>
          <cell r="L9">
            <v>-0.1</v>
          </cell>
        </row>
        <row r="10">
          <cell r="A10">
            <v>2</v>
          </cell>
          <cell r="D10">
            <v>-5.7999999999999829E-2</v>
          </cell>
          <cell r="K10">
            <v>2</v>
          </cell>
          <cell r="L10">
            <v>-2</v>
          </cell>
        </row>
        <row r="11">
          <cell r="A11">
            <v>3</v>
          </cell>
          <cell r="D11">
            <v>-4.4999999999999929E-2</v>
          </cell>
          <cell r="K11">
            <v>2</v>
          </cell>
          <cell r="L11">
            <v>-2</v>
          </cell>
        </row>
        <row r="12">
          <cell r="A12">
            <v>4</v>
          </cell>
          <cell r="D12">
            <v>-5.7999999999999829E-2</v>
          </cell>
          <cell r="K12">
            <v>2</v>
          </cell>
          <cell r="L12">
            <v>-2</v>
          </cell>
        </row>
        <row r="13">
          <cell r="A13">
            <v>5</v>
          </cell>
          <cell r="D13">
            <v>-8.2999999999998408E-2</v>
          </cell>
          <cell r="K13">
            <v>2</v>
          </cell>
          <cell r="L13">
            <v>-2</v>
          </cell>
        </row>
        <row r="14">
          <cell r="A14">
            <v>6</v>
          </cell>
          <cell r="D14">
            <v>-0.11299999999999955</v>
          </cell>
          <cell r="K14">
            <v>2.16</v>
          </cell>
          <cell r="L14">
            <v>-2.16</v>
          </cell>
        </row>
        <row r="15">
          <cell r="A15">
            <v>7</v>
          </cell>
          <cell r="D15">
            <v>-7.9999999999998295E-2</v>
          </cell>
          <cell r="K15">
            <v>2.6999999999999997</v>
          </cell>
          <cell r="L15">
            <v>-2.6999999999999997</v>
          </cell>
        </row>
        <row r="16">
          <cell r="A16">
            <v>8</v>
          </cell>
          <cell r="D16">
            <v>-4.0000000000006253E-2</v>
          </cell>
          <cell r="K16">
            <v>3.2399999999999998</v>
          </cell>
          <cell r="L16">
            <v>-3.2399999999999998</v>
          </cell>
        </row>
        <row r="17">
          <cell r="A17">
            <v>9</v>
          </cell>
          <cell r="D17">
            <v>8.1999999999993634E-2</v>
          </cell>
          <cell r="K17">
            <v>3.78</v>
          </cell>
          <cell r="L17">
            <v>-3.78</v>
          </cell>
        </row>
        <row r="18">
          <cell r="A18">
            <v>10</v>
          </cell>
          <cell r="D18">
            <v>0.16499999999999204</v>
          </cell>
          <cell r="K18">
            <v>4.3499999999999996</v>
          </cell>
          <cell r="L18">
            <v>-4.3499999999999996</v>
          </cell>
        </row>
        <row r="24">
          <cell r="J24">
            <v>1</v>
          </cell>
          <cell r="K24">
            <v>-1</v>
          </cell>
        </row>
        <row r="25">
          <cell r="J25">
            <v>1</v>
          </cell>
          <cell r="K25">
            <v>-1</v>
          </cell>
        </row>
        <row r="26">
          <cell r="J26">
            <v>1</v>
          </cell>
          <cell r="K26">
            <v>-1</v>
          </cell>
        </row>
        <row r="27">
          <cell r="J27">
            <v>1</v>
          </cell>
          <cell r="K27">
            <v>-1</v>
          </cell>
        </row>
        <row r="28">
          <cell r="J28">
            <v>1.2</v>
          </cell>
          <cell r="K28">
            <v>-1.2</v>
          </cell>
        </row>
        <row r="29">
          <cell r="J29">
            <v>1.5</v>
          </cell>
          <cell r="K29">
            <v>-1.5</v>
          </cell>
        </row>
        <row r="30">
          <cell r="J30">
            <v>1.7999999999999998</v>
          </cell>
          <cell r="K30">
            <v>-1.7999999999999998</v>
          </cell>
        </row>
        <row r="31">
          <cell r="J31">
            <v>2.1749999999999998</v>
          </cell>
          <cell r="K31">
            <v>-2.1749999999999998</v>
          </cell>
        </row>
        <row r="33">
          <cell r="G33">
            <v>0</v>
          </cell>
          <cell r="H33" t="e">
            <v>#VALUE!</v>
          </cell>
        </row>
        <row r="34">
          <cell r="G34">
            <v>0</v>
          </cell>
          <cell r="H34" t="e">
            <v>#VALUE!</v>
          </cell>
        </row>
        <row r="35">
          <cell r="G35">
            <v>0</v>
          </cell>
          <cell r="H35" t="e">
            <v>#VALUE!</v>
          </cell>
        </row>
        <row r="36">
          <cell r="G36">
            <v>0</v>
          </cell>
          <cell r="H36" t="e">
            <v>#VALUE!</v>
          </cell>
        </row>
        <row r="37">
          <cell r="G37">
            <v>0</v>
          </cell>
          <cell r="H37" t="e">
            <v>#VALUE!</v>
          </cell>
        </row>
        <row r="38">
          <cell r="G38">
            <v>0</v>
          </cell>
          <cell r="H38" t="e">
            <v>#VALUE!</v>
          </cell>
        </row>
        <row r="39">
          <cell r="G39">
            <v>0</v>
          </cell>
          <cell r="H39" t="e">
            <v>#VALUE!</v>
          </cell>
        </row>
        <row r="40">
          <cell r="G40">
            <v>0</v>
          </cell>
          <cell r="H40" t="e">
            <v>#VALUE!</v>
          </cell>
        </row>
      </sheetData>
      <sheetData sheetId="8">
        <row r="9">
          <cell r="A9">
            <v>1</v>
          </cell>
          <cell r="D9">
            <v>0</v>
          </cell>
          <cell r="K9">
            <v>0.1</v>
          </cell>
          <cell r="L9">
            <v>-0.1</v>
          </cell>
        </row>
        <row r="10">
          <cell r="A10">
            <v>2</v>
          </cell>
          <cell r="D10">
            <v>-1.5100000000000016</v>
          </cell>
          <cell r="K10">
            <v>2</v>
          </cell>
          <cell r="L10">
            <v>-2</v>
          </cell>
        </row>
        <row r="11">
          <cell r="A11">
            <v>3</v>
          </cell>
          <cell r="D11">
            <v>-1.2950000000000017</v>
          </cell>
          <cell r="K11">
            <v>2</v>
          </cell>
          <cell r="L11">
            <v>-2</v>
          </cell>
        </row>
        <row r="12">
          <cell r="A12">
            <v>4</v>
          </cell>
          <cell r="D12">
            <v>-1.4699999999999989</v>
          </cell>
          <cell r="K12">
            <v>3</v>
          </cell>
          <cell r="L12">
            <v>-3</v>
          </cell>
        </row>
        <row r="13">
          <cell r="A13">
            <v>5</v>
          </cell>
          <cell r="D13">
            <v>-1.0900000000000034</v>
          </cell>
          <cell r="K13">
            <v>6</v>
          </cell>
          <cell r="L13">
            <v>-6</v>
          </cell>
        </row>
        <row r="14">
          <cell r="A14">
            <v>6</v>
          </cell>
          <cell r="D14">
            <v>-2.4200000000000159</v>
          </cell>
          <cell r="K14">
            <v>9</v>
          </cell>
          <cell r="L14">
            <v>-9</v>
          </cell>
        </row>
        <row r="15">
          <cell r="A15">
            <v>7</v>
          </cell>
          <cell r="D15">
            <v>-3.6000000000000227</v>
          </cell>
          <cell r="K15">
            <v>12</v>
          </cell>
          <cell r="L15">
            <v>-12</v>
          </cell>
        </row>
        <row r="16">
          <cell r="A16">
            <v>8</v>
          </cell>
          <cell r="D16">
            <v>-4.6299999999999955</v>
          </cell>
          <cell r="K16">
            <v>12</v>
          </cell>
          <cell r="L16">
            <v>-12</v>
          </cell>
        </row>
        <row r="17">
          <cell r="A17">
            <v>9</v>
          </cell>
          <cell r="D17">
            <v>-4.9099999999999682</v>
          </cell>
          <cell r="K17">
            <v>12</v>
          </cell>
          <cell r="L17">
            <v>-12</v>
          </cell>
        </row>
        <row r="18">
          <cell r="A18">
            <v>10</v>
          </cell>
          <cell r="D18">
            <v>-5.9199999999999591</v>
          </cell>
          <cell r="K18">
            <v>12</v>
          </cell>
          <cell r="L18">
            <v>-12</v>
          </cell>
        </row>
        <row r="19">
          <cell r="A19">
            <v>11</v>
          </cell>
          <cell r="D19">
            <v>-6.1299999999999955</v>
          </cell>
          <cell r="K19">
            <v>12</v>
          </cell>
          <cell r="L19">
            <v>-12</v>
          </cell>
        </row>
        <row r="20">
          <cell r="A20">
            <v>12</v>
          </cell>
          <cell r="D20">
            <v>-5.8799999999999955</v>
          </cell>
          <cell r="K20">
            <v>12</v>
          </cell>
          <cell r="L20">
            <v>-12</v>
          </cell>
        </row>
        <row r="21">
          <cell r="A21">
            <v>13</v>
          </cell>
          <cell r="D21">
            <v>-6.3700000000000045</v>
          </cell>
          <cell r="K21">
            <v>12</v>
          </cell>
          <cell r="L21">
            <v>-12</v>
          </cell>
        </row>
        <row r="27">
          <cell r="J27">
            <v>1</v>
          </cell>
          <cell r="K27">
            <v>-1</v>
          </cell>
        </row>
        <row r="28">
          <cell r="J28">
            <v>2.13</v>
          </cell>
          <cell r="K28">
            <v>-2.13</v>
          </cell>
        </row>
        <row r="29">
          <cell r="J29">
            <v>4.26</v>
          </cell>
          <cell r="K29">
            <v>-4.26</v>
          </cell>
        </row>
        <row r="30">
          <cell r="J30">
            <v>5</v>
          </cell>
          <cell r="K30">
            <v>-5</v>
          </cell>
        </row>
        <row r="31">
          <cell r="J31">
            <v>5</v>
          </cell>
          <cell r="K31">
            <v>-5</v>
          </cell>
        </row>
        <row r="32">
          <cell r="J32">
            <v>5</v>
          </cell>
          <cell r="K32">
            <v>-5</v>
          </cell>
        </row>
        <row r="33">
          <cell r="J33">
            <v>5</v>
          </cell>
          <cell r="K33">
            <v>-5</v>
          </cell>
        </row>
        <row r="34">
          <cell r="J34">
            <v>5</v>
          </cell>
          <cell r="K34">
            <v>-5</v>
          </cell>
        </row>
        <row r="36">
          <cell r="G36">
            <v>0</v>
          </cell>
          <cell r="H36" t="str">
            <v/>
          </cell>
        </row>
        <row r="37">
          <cell r="G37">
            <v>-0.16999999999998749</v>
          </cell>
          <cell r="H37" t="str">
            <v/>
          </cell>
        </row>
        <row r="38">
          <cell r="G38">
            <v>-0.42999999999994998</v>
          </cell>
          <cell r="H38" t="str">
            <v/>
          </cell>
        </row>
        <row r="39">
          <cell r="G39">
            <v>0.49000000000000909</v>
          </cell>
          <cell r="H39" t="str">
            <v/>
          </cell>
        </row>
        <row r="40">
          <cell r="G40">
            <v>0.49000000000000909</v>
          </cell>
          <cell r="H40" t="str">
            <v/>
          </cell>
        </row>
        <row r="41">
          <cell r="G41">
            <v>0.31999999999993634</v>
          </cell>
          <cell r="H41" t="str">
            <v/>
          </cell>
        </row>
        <row r="42">
          <cell r="G42">
            <v>0.17000000000007276</v>
          </cell>
          <cell r="H42" t="str">
            <v/>
          </cell>
        </row>
        <row r="43">
          <cell r="G43">
            <v>-0.59000000000003183</v>
          </cell>
          <cell r="H43" t="str">
            <v/>
          </cell>
        </row>
      </sheetData>
      <sheetData sheetId="9">
        <row r="9">
          <cell r="A9">
            <v>1</v>
          </cell>
          <cell r="D9">
            <v>0</v>
          </cell>
          <cell r="K9">
            <v>0.1</v>
          </cell>
          <cell r="L9">
            <v>-0.1</v>
          </cell>
        </row>
        <row r="10">
          <cell r="A10">
            <v>2</v>
          </cell>
          <cell r="D10">
            <v>0.5</v>
          </cell>
          <cell r="K10">
            <v>6</v>
          </cell>
          <cell r="L10">
            <v>-6</v>
          </cell>
        </row>
        <row r="11">
          <cell r="A11">
            <v>3</v>
          </cell>
          <cell r="D11">
            <v>1.8000000000000114</v>
          </cell>
          <cell r="K11">
            <v>12</v>
          </cell>
          <cell r="L11">
            <v>-12</v>
          </cell>
        </row>
        <row r="12">
          <cell r="A12">
            <v>4</v>
          </cell>
          <cell r="D12">
            <v>2.8899999999999864</v>
          </cell>
          <cell r="K12">
            <v>12</v>
          </cell>
          <cell r="L12">
            <v>-12</v>
          </cell>
        </row>
        <row r="13">
          <cell r="A13">
            <v>5</v>
          </cell>
          <cell r="D13">
            <v>3.0299999999999727</v>
          </cell>
          <cell r="K13">
            <v>15</v>
          </cell>
          <cell r="L13">
            <v>-15</v>
          </cell>
        </row>
        <row r="14">
          <cell r="A14">
            <v>6</v>
          </cell>
          <cell r="D14">
            <v>2.6199999999998909</v>
          </cell>
          <cell r="K14">
            <v>20</v>
          </cell>
          <cell r="L14">
            <v>-20</v>
          </cell>
        </row>
        <row r="15">
          <cell r="A15">
            <v>7</v>
          </cell>
          <cell r="D15">
            <v>5.7699999999999818</v>
          </cell>
          <cell r="K15">
            <v>25</v>
          </cell>
          <cell r="L15">
            <v>-25</v>
          </cell>
        </row>
        <row r="16">
          <cell r="A16">
            <v>8</v>
          </cell>
          <cell r="D16">
            <v>4.7399999999997817</v>
          </cell>
          <cell r="K16">
            <v>30</v>
          </cell>
          <cell r="L16">
            <v>-30</v>
          </cell>
        </row>
        <row r="17">
          <cell r="A17">
            <v>9</v>
          </cell>
          <cell r="D17">
            <v>4.6399999999998727</v>
          </cell>
          <cell r="K17">
            <v>35</v>
          </cell>
          <cell r="L17">
            <v>-35</v>
          </cell>
        </row>
        <row r="18">
          <cell r="A18">
            <v>10</v>
          </cell>
          <cell r="D18">
            <v>4.3499999999999091</v>
          </cell>
          <cell r="K18">
            <v>40</v>
          </cell>
          <cell r="L18">
            <v>-40</v>
          </cell>
        </row>
        <row r="19">
          <cell r="A19">
            <v>11</v>
          </cell>
          <cell r="D19">
            <v>7.569999999999709</v>
          </cell>
          <cell r="K19">
            <v>45</v>
          </cell>
          <cell r="L19">
            <v>-45</v>
          </cell>
        </row>
        <row r="20">
          <cell r="A20">
            <v>12</v>
          </cell>
          <cell r="D20">
            <v>9.6499999999996362</v>
          </cell>
          <cell r="K20">
            <v>50</v>
          </cell>
          <cell r="L20">
            <v>-50</v>
          </cell>
        </row>
        <row r="26">
          <cell r="J26">
            <v>1</v>
          </cell>
          <cell r="K26">
            <v>-1</v>
          </cell>
        </row>
        <row r="27">
          <cell r="J27">
            <v>6</v>
          </cell>
          <cell r="K27">
            <v>-6</v>
          </cell>
        </row>
        <row r="28">
          <cell r="J28">
            <v>6</v>
          </cell>
          <cell r="K28">
            <v>-6</v>
          </cell>
        </row>
        <row r="29">
          <cell r="J29">
            <v>6.42</v>
          </cell>
          <cell r="K29">
            <v>-6.42</v>
          </cell>
        </row>
        <row r="30">
          <cell r="J30">
            <v>8.56</v>
          </cell>
          <cell r="K30">
            <v>-8.56</v>
          </cell>
        </row>
        <row r="31">
          <cell r="J31">
            <v>10.700000000000001</v>
          </cell>
          <cell r="K31">
            <v>-10.700000000000001</v>
          </cell>
        </row>
        <row r="32">
          <cell r="J32">
            <v>12.84</v>
          </cell>
          <cell r="K32">
            <v>-12.84</v>
          </cell>
        </row>
        <row r="33">
          <cell r="J33">
            <v>15</v>
          </cell>
          <cell r="K33">
            <v>-15</v>
          </cell>
        </row>
        <row r="35">
          <cell r="G35">
            <v>0.84</v>
          </cell>
          <cell r="H35" t="str">
            <v/>
          </cell>
        </row>
        <row r="36">
          <cell r="G36">
            <v>0</v>
          </cell>
          <cell r="H36" t="str">
            <v/>
          </cell>
        </row>
        <row r="37">
          <cell r="G37">
            <v>0</v>
          </cell>
          <cell r="H37" t="str">
            <v/>
          </cell>
        </row>
        <row r="38">
          <cell r="G38">
            <v>0</v>
          </cell>
          <cell r="H38" t="str">
            <v/>
          </cell>
        </row>
        <row r="39">
          <cell r="G39">
            <v>0.82999999999992724</v>
          </cell>
          <cell r="H39" t="str">
            <v/>
          </cell>
        </row>
        <row r="40">
          <cell r="G40">
            <v>-0.82999999999992724</v>
          </cell>
          <cell r="H40" t="str">
            <v/>
          </cell>
        </row>
        <row r="41">
          <cell r="G41">
            <v>0</v>
          </cell>
          <cell r="H41" t="str">
            <v/>
          </cell>
        </row>
        <row r="42">
          <cell r="G42">
            <v>0</v>
          </cell>
          <cell r="H42" t="str">
            <v/>
          </cell>
        </row>
      </sheetData>
      <sheetData sheetId="10">
        <row r="10">
          <cell r="A10">
            <v>1</v>
          </cell>
          <cell r="F10" t="str">
            <v/>
          </cell>
          <cell r="L10">
            <v>20</v>
          </cell>
          <cell r="M10">
            <v>-20</v>
          </cell>
        </row>
        <row r="11">
          <cell r="A11">
            <v>2</v>
          </cell>
          <cell r="F11" t="str">
            <v/>
          </cell>
          <cell r="L11">
            <v>20</v>
          </cell>
          <cell r="M11">
            <v>-20</v>
          </cell>
        </row>
        <row r="12">
          <cell r="A12">
            <v>3</v>
          </cell>
          <cell r="F12" t="str">
            <v/>
          </cell>
          <cell r="L12">
            <v>20</v>
          </cell>
          <cell r="M12">
            <v>-20</v>
          </cell>
        </row>
        <row r="13">
          <cell r="A13">
            <v>4</v>
          </cell>
          <cell r="F13" t="str">
            <v/>
          </cell>
          <cell r="L13">
            <v>20</v>
          </cell>
          <cell r="M13">
            <v>-20</v>
          </cell>
        </row>
        <row r="14">
          <cell r="A14">
            <v>5</v>
          </cell>
          <cell r="F14" t="str">
            <v/>
          </cell>
          <cell r="L14">
            <v>20</v>
          </cell>
          <cell r="M14">
            <v>-20</v>
          </cell>
        </row>
        <row r="15">
          <cell r="A15">
            <v>6</v>
          </cell>
          <cell r="F15" t="str">
            <v/>
          </cell>
          <cell r="L15">
            <v>20</v>
          </cell>
          <cell r="M15">
            <v>-20</v>
          </cell>
        </row>
        <row r="16">
          <cell r="A16">
            <v>7</v>
          </cell>
          <cell r="F16" t="str">
            <v/>
          </cell>
          <cell r="L16">
            <v>20</v>
          </cell>
          <cell r="M16">
            <v>-20</v>
          </cell>
        </row>
        <row r="17">
          <cell r="A17">
            <v>8</v>
          </cell>
          <cell r="F17" t="str">
            <v/>
          </cell>
          <cell r="L17">
            <v>20</v>
          </cell>
          <cell r="M17">
            <v>-20</v>
          </cell>
        </row>
        <row r="49">
          <cell r="F49" t="str">
            <v/>
          </cell>
          <cell r="L49">
            <v>20</v>
          </cell>
          <cell r="M49">
            <v>-20</v>
          </cell>
        </row>
        <row r="50">
          <cell r="F50" t="str">
            <v/>
          </cell>
          <cell r="L50">
            <v>20</v>
          </cell>
          <cell r="M50">
            <v>-20</v>
          </cell>
        </row>
        <row r="51">
          <cell r="F51" t="str">
            <v/>
          </cell>
          <cell r="L51">
            <v>20</v>
          </cell>
          <cell r="M51">
            <v>-20</v>
          </cell>
        </row>
        <row r="52">
          <cell r="F52" t="str">
            <v/>
          </cell>
          <cell r="L52">
            <v>20</v>
          </cell>
          <cell r="M52">
            <v>-20</v>
          </cell>
        </row>
        <row r="53">
          <cell r="F53" t="str">
            <v/>
          </cell>
          <cell r="L53">
            <v>20</v>
          </cell>
          <cell r="M53">
            <v>-20</v>
          </cell>
        </row>
        <row r="54">
          <cell r="F54" t="str">
            <v/>
          </cell>
          <cell r="L54">
            <v>20</v>
          </cell>
          <cell r="M54">
            <v>-20</v>
          </cell>
        </row>
        <row r="55">
          <cell r="F55" t="str">
            <v/>
          </cell>
          <cell r="L55">
            <v>20</v>
          </cell>
          <cell r="M55">
            <v>-20</v>
          </cell>
        </row>
        <row r="56">
          <cell r="F56" t="str">
            <v/>
          </cell>
          <cell r="L56">
            <v>20</v>
          </cell>
          <cell r="M56">
            <v>-20</v>
          </cell>
        </row>
        <row r="89">
          <cell r="F89" t="str">
            <v/>
          </cell>
          <cell r="L89">
            <v>40</v>
          </cell>
          <cell r="M89">
            <v>-40</v>
          </cell>
        </row>
        <row r="90">
          <cell r="F90" t="str">
            <v/>
          </cell>
          <cell r="L90">
            <v>40</v>
          </cell>
          <cell r="M90">
            <v>-40</v>
          </cell>
        </row>
        <row r="91">
          <cell r="F91" t="str">
            <v/>
          </cell>
          <cell r="L91">
            <v>40</v>
          </cell>
          <cell r="M91">
            <v>-40</v>
          </cell>
        </row>
        <row r="92">
          <cell r="F92" t="str">
            <v/>
          </cell>
          <cell r="L92">
            <v>40</v>
          </cell>
          <cell r="M92">
            <v>-40</v>
          </cell>
        </row>
        <row r="93">
          <cell r="F93" t="str">
            <v/>
          </cell>
          <cell r="L93">
            <v>40</v>
          </cell>
          <cell r="M93">
            <v>-40</v>
          </cell>
        </row>
        <row r="94">
          <cell r="F94" t="str">
            <v/>
          </cell>
          <cell r="L94">
            <v>40</v>
          </cell>
          <cell r="M94">
            <v>-40</v>
          </cell>
        </row>
        <row r="95">
          <cell r="F95" t="str">
            <v/>
          </cell>
          <cell r="L95">
            <v>40</v>
          </cell>
          <cell r="M95">
            <v>-40</v>
          </cell>
        </row>
        <row r="96">
          <cell r="F96" t="str">
            <v/>
          </cell>
          <cell r="L96">
            <v>40</v>
          </cell>
          <cell r="M96">
            <v>-40</v>
          </cell>
        </row>
      </sheetData>
      <sheetData sheetId="11">
        <row r="10">
          <cell r="A10">
            <v>1</v>
          </cell>
          <cell r="F10" t="str">
            <v/>
          </cell>
          <cell r="L10">
            <v>10</v>
          </cell>
          <cell r="M10">
            <v>-10</v>
          </cell>
        </row>
        <row r="11">
          <cell r="A11">
            <v>2</v>
          </cell>
          <cell r="F11" t="str">
            <v/>
          </cell>
          <cell r="L11">
            <v>10</v>
          </cell>
          <cell r="M11">
            <v>-10</v>
          </cell>
        </row>
        <row r="12">
          <cell r="A12">
            <v>3</v>
          </cell>
          <cell r="F12" t="str">
            <v/>
          </cell>
          <cell r="L12">
            <v>10</v>
          </cell>
          <cell r="M12">
            <v>-10</v>
          </cell>
        </row>
        <row r="13">
          <cell r="A13">
            <v>4</v>
          </cell>
          <cell r="F13" t="str">
            <v/>
          </cell>
          <cell r="L13">
            <v>10</v>
          </cell>
          <cell r="M13">
            <v>-10</v>
          </cell>
        </row>
        <row r="14">
          <cell r="A14">
            <v>5</v>
          </cell>
          <cell r="F14" t="str">
            <v/>
          </cell>
          <cell r="L14">
            <v>10</v>
          </cell>
          <cell r="M14">
            <v>-10</v>
          </cell>
        </row>
        <row r="15">
          <cell r="A15">
            <v>6</v>
          </cell>
          <cell r="F15" t="str">
            <v/>
          </cell>
          <cell r="L15">
            <v>10</v>
          </cell>
          <cell r="M15">
            <v>-10</v>
          </cell>
        </row>
        <row r="16">
          <cell r="A16">
            <v>7</v>
          </cell>
          <cell r="F16" t="str">
            <v/>
          </cell>
          <cell r="L16">
            <v>10</v>
          </cell>
          <cell r="M16">
            <v>-10</v>
          </cell>
        </row>
        <row r="17">
          <cell r="A17">
            <v>8</v>
          </cell>
          <cell r="F17" t="str">
            <v/>
          </cell>
          <cell r="L17">
            <v>10</v>
          </cell>
          <cell r="M17">
            <v>-10</v>
          </cell>
        </row>
        <row r="50">
          <cell r="F50" t="str">
            <v/>
          </cell>
          <cell r="L50">
            <v>20</v>
          </cell>
          <cell r="M50">
            <v>-20</v>
          </cell>
        </row>
        <row r="51">
          <cell r="F51" t="str">
            <v/>
          </cell>
          <cell r="L51">
            <v>20</v>
          </cell>
          <cell r="M51">
            <v>-20</v>
          </cell>
        </row>
        <row r="52">
          <cell r="F52" t="str">
            <v/>
          </cell>
          <cell r="L52">
            <v>20</v>
          </cell>
          <cell r="M52">
            <v>-20</v>
          </cell>
        </row>
        <row r="53">
          <cell r="F53" t="str">
            <v/>
          </cell>
          <cell r="L53">
            <v>20</v>
          </cell>
          <cell r="M53">
            <v>-20</v>
          </cell>
        </row>
        <row r="54">
          <cell r="F54" t="str">
            <v/>
          </cell>
          <cell r="L54">
            <v>20</v>
          </cell>
          <cell r="M54">
            <v>-20</v>
          </cell>
        </row>
        <row r="55">
          <cell r="F55" t="str">
            <v/>
          </cell>
          <cell r="L55">
            <v>20</v>
          </cell>
          <cell r="M55">
            <v>-20</v>
          </cell>
        </row>
        <row r="56">
          <cell r="F56" t="str">
            <v/>
          </cell>
          <cell r="L56">
            <v>20</v>
          </cell>
          <cell r="M56">
            <v>-20</v>
          </cell>
        </row>
        <row r="57">
          <cell r="F57" t="str">
            <v/>
          </cell>
          <cell r="L57">
            <v>20</v>
          </cell>
          <cell r="M57">
            <v>-20</v>
          </cell>
        </row>
        <row r="90">
          <cell r="F90" t="str">
            <v/>
          </cell>
          <cell r="L90">
            <v>20</v>
          </cell>
          <cell r="M90">
            <v>-20</v>
          </cell>
        </row>
        <row r="91">
          <cell r="F91" t="str">
            <v/>
          </cell>
          <cell r="L91">
            <v>20</v>
          </cell>
          <cell r="M91">
            <v>-20</v>
          </cell>
        </row>
        <row r="92">
          <cell r="F92" t="str">
            <v/>
          </cell>
          <cell r="L92">
            <v>20</v>
          </cell>
          <cell r="M92">
            <v>-20</v>
          </cell>
        </row>
        <row r="93">
          <cell r="F93" t="str">
            <v/>
          </cell>
          <cell r="L93">
            <v>20</v>
          </cell>
          <cell r="M93">
            <v>-20</v>
          </cell>
        </row>
        <row r="94">
          <cell r="F94" t="str">
            <v/>
          </cell>
          <cell r="L94">
            <v>20</v>
          </cell>
          <cell r="M94">
            <v>-20</v>
          </cell>
        </row>
        <row r="95">
          <cell r="F95" t="str">
            <v/>
          </cell>
          <cell r="L95">
            <v>20</v>
          </cell>
          <cell r="M95">
            <v>-20</v>
          </cell>
        </row>
        <row r="96">
          <cell r="F96" t="str">
            <v/>
          </cell>
          <cell r="L96">
            <v>20</v>
          </cell>
          <cell r="M96">
            <v>-20</v>
          </cell>
        </row>
        <row r="97">
          <cell r="F97" t="str">
            <v/>
          </cell>
          <cell r="L97">
            <v>20</v>
          </cell>
          <cell r="M97">
            <v>-20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2B3D-469C-46CF-B57C-02F2B7073CF5}">
  <dimension ref="A1:M89"/>
  <sheetViews>
    <sheetView topLeftCell="A14" zoomScale="78" workbookViewId="0">
      <selection activeCell="K47" sqref="K47"/>
    </sheetView>
  </sheetViews>
  <sheetFormatPr defaultColWidth="11.42578125" defaultRowHeight="15"/>
  <cols>
    <col min="1" max="1" width="14.7109375" bestFit="1" customWidth="1"/>
    <col min="2" max="2" width="41.5703125" customWidth="1"/>
    <col min="3" max="3" width="14.28515625" customWidth="1"/>
    <col min="4" max="4" width="24.140625" bestFit="1" customWidth="1"/>
    <col min="5" max="5" width="18.5703125" customWidth="1"/>
    <col min="6" max="6" width="20.85546875" bestFit="1" customWidth="1"/>
    <col min="7" max="7" width="21.28515625" bestFit="1" customWidth="1"/>
    <col min="8" max="8" width="19.28515625" customWidth="1"/>
    <col min="9" max="9" width="18.85546875" bestFit="1" customWidth="1"/>
    <col min="10" max="10" width="13.28515625" customWidth="1"/>
    <col min="11" max="11" width="18.85546875" customWidth="1"/>
    <col min="12" max="12" width="20.7109375" bestFit="1" customWidth="1"/>
    <col min="13" max="13" width="10.5703125" customWidth="1"/>
  </cols>
  <sheetData>
    <row r="1" spans="1:13" ht="21.75" customHeight="1">
      <c r="B1" s="146"/>
      <c r="C1" s="146" t="s">
        <v>0</v>
      </c>
      <c r="D1" s="147"/>
      <c r="E1" s="147"/>
      <c r="F1" s="147"/>
      <c r="G1" s="147"/>
      <c r="H1" s="147"/>
      <c r="I1" s="147"/>
      <c r="J1" s="147"/>
      <c r="K1" s="147"/>
      <c r="L1" s="147"/>
      <c r="M1" s="148"/>
    </row>
    <row r="2" spans="1:13" ht="21.75" customHeight="1">
      <c r="B2" s="156"/>
      <c r="C2" s="149"/>
      <c r="D2" s="150"/>
      <c r="E2" s="150"/>
      <c r="F2" s="150"/>
      <c r="G2" s="150"/>
      <c r="H2" s="150"/>
      <c r="I2" s="150"/>
      <c r="J2" s="150"/>
      <c r="K2" s="150"/>
      <c r="L2" s="150"/>
      <c r="M2" s="151"/>
    </row>
    <row r="3" spans="1:13" ht="15.75" customHeight="1">
      <c r="B3" s="157"/>
      <c r="C3" s="159" t="s">
        <v>1</v>
      </c>
      <c r="D3" s="161" t="s">
        <v>2</v>
      </c>
      <c r="E3" s="161"/>
      <c r="F3" s="159" t="s">
        <v>3</v>
      </c>
      <c r="G3" s="140" t="s">
        <v>4</v>
      </c>
      <c r="H3" s="140"/>
      <c r="I3" s="152" t="s">
        <v>5</v>
      </c>
      <c r="J3" s="153"/>
      <c r="K3" s="123"/>
      <c r="L3" s="142">
        <v>45950</v>
      </c>
      <c r="M3" s="143"/>
    </row>
    <row r="4" spans="1:13" ht="15.75" customHeight="1">
      <c r="B4" s="158"/>
      <c r="C4" s="160"/>
      <c r="D4" s="162"/>
      <c r="E4" s="162"/>
      <c r="F4" s="160"/>
      <c r="G4" s="141"/>
      <c r="H4" s="141"/>
      <c r="I4" s="154"/>
      <c r="J4" s="155"/>
      <c r="K4" s="122"/>
      <c r="L4" s="144"/>
      <c r="M4" s="145"/>
    </row>
    <row r="5" spans="1:13">
      <c r="B5" s="1"/>
      <c r="C5" s="1"/>
      <c r="D5" s="1"/>
    </row>
    <row r="6" spans="1:13" ht="15.75">
      <c r="B6" s="2"/>
      <c r="C6" s="163" t="s">
        <v>6</v>
      </c>
      <c r="D6" s="164"/>
      <c r="E6" s="63">
        <v>45924</v>
      </c>
      <c r="F6" s="3"/>
      <c r="G6" s="3"/>
      <c r="H6" s="3"/>
      <c r="I6" s="3"/>
      <c r="J6" s="3"/>
      <c r="K6" s="3"/>
      <c r="L6" s="3"/>
    </row>
    <row r="7" spans="1:13">
      <c r="B7" s="2"/>
      <c r="C7" s="2"/>
      <c r="D7" s="2"/>
      <c r="E7" s="3"/>
      <c r="F7" s="3"/>
      <c r="G7" s="3"/>
      <c r="H7" s="3"/>
      <c r="I7" s="3"/>
      <c r="J7" s="3"/>
      <c r="K7" s="3"/>
      <c r="L7" s="3"/>
    </row>
    <row r="8" spans="1:13">
      <c r="B8" s="2"/>
      <c r="C8" s="2"/>
      <c r="D8" s="2"/>
      <c r="E8" s="3"/>
      <c r="F8" s="3"/>
      <c r="G8" s="3"/>
      <c r="H8" s="3"/>
      <c r="J8" s="3"/>
      <c r="K8" s="3"/>
      <c r="L8" s="3"/>
    </row>
    <row r="9" spans="1:13" ht="18.75" customHeight="1">
      <c r="B9" s="2"/>
      <c r="C9" s="165" t="s">
        <v>0</v>
      </c>
      <c r="D9" s="166"/>
      <c r="E9" s="166"/>
      <c r="F9" s="167"/>
      <c r="G9" s="3"/>
      <c r="H9" s="3"/>
      <c r="J9" s="128"/>
      <c r="K9" s="3"/>
      <c r="L9" s="3"/>
    </row>
    <row r="10" spans="1:13" ht="18.75">
      <c r="B10" s="2"/>
      <c r="C10" s="29"/>
      <c r="D10" s="29"/>
      <c r="E10" s="29"/>
      <c r="F10" s="29"/>
      <c r="G10" s="3"/>
      <c r="H10" s="3"/>
      <c r="K10" s="3"/>
      <c r="L10" s="3"/>
    </row>
    <row r="11" spans="1:13" ht="18.75">
      <c r="B11" s="2"/>
      <c r="C11" s="29"/>
      <c r="D11" s="29"/>
      <c r="E11" s="29"/>
      <c r="F11" s="29"/>
      <c r="G11" s="3"/>
      <c r="H11" s="3"/>
      <c r="I11" s="3"/>
      <c r="J11" s="3"/>
      <c r="K11" s="3"/>
      <c r="L11" s="3"/>
    </row>
    <row r="12" spans="1:13">
      <c r="A12" s="138" t="s">
        <v>7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70"/>
    </row>
    <row r="13" spans="1:13" ht="29.25" customHeight="1">
      <c r="A13" s="124" t="s">
        <v>8</v>
      </c>
      <c r="B13" s="124" t="s">
        <v>9</v>
      </c>
      <c r="C13" s="125" t="s">
        <v>10</v>
      </c>
      <c r="D13" s="125" t="s">
        <v>11</v>
      </c>
      <c r="E13" s="125" t="s">
        <v>12</v>
      </c>
      <c r="F13" s="125" t="s">
        <v>13</v>
      </c>
      <c r="G13" s="125" t="s">
        <v>14</v>
      </c>
      <c r="H13" s="125" t="s">
        <v>15</v>
      </c>
      <c r="I13" s="125" t="s">
        <v>16</v>
      </c>
      <c r="J13" s="125" t="s">
        <v>17</v>
      </c>
      <c r="K13" s="125" t="s">
        <v>18</v>
      </c>
      <c r="L13" s="130" t="s">
        <v>19</v>
      </c>
      <c r="M13" s="129" t="s">
        <v>20</v>
      </c>
    </row>
    <row r="14" spans="1:13">
      <c r="A14" s="44" t="s">
        <v>21</v>
      </c>
      <c r="B14" s="117" t="s">
        <v>22</v>
      </c>
      <c r="C14" s="70" t="s">
        <v>23</v>
      </c>
      <c r="D14" s="70" t="s">
        <v>24</v>
      </c>
      <c r="E14" s="70" t="s">
        <v>25</v>
      </c>
      <c r="F14" s="70">
        <v>357309</v>
      </c>
      <c r="G14" s="118">
        <v>45681</v>
      </c>
      <c r="H14" s="118">
        <f t="shared" ref="H14:H25" si="0">+G14+365</f>
        <v>46046</v>
      </c>
      <c r="I14" s="118" t="str">
        <f t="shared" ref="I14:I25" ca="1" si="1">IF(H14&lt;TODAY(),"VENCIDO",IF(H14-TODAY()&lt;15,"PROXIMO A VENCER","CERTIFICADO"))</f>
        <v>CERTIFICADO</v>
      </c>
      <c r="J14" s="118" t="s">
        <v>26</v>
      </c>
      <c r="K14" s="118" t="s">
        <v>27</v>
      </c>
      <c r="L14" s="119" t="s">
        <v>28</v>
      </c>
      <c r="M14" s="121" t="str">
        <f ca="1">IF(AND(J14="MALO",OR(I14="CERTIFICADO",I14="PROXIMO A VENCER",I14="VENCIDO")),"🔴", IF(AND(J14="BUENO",OR(I14="CERTIFICADO",I14="PROXIMO A VENCER")),"🟢", IF(AND(J14="BUENO",I14="VENCIDO"),"🟡","")))</f>
        <v>🟢</v>
      </c>
    </row>
    <row r="15" spans="1:13">
      <c r="A15" s="44" t="s">
        <v>29</v>
      </c>
      <c r="B15" s="117" t="s">
        <v>22</v>
      </c>
      <c r="C15" s="70" t="s">
        <v>30</v>
      </c>
      <c r="D15" s="70" t="s">
        <v>31</v>
      </c>
      <c r="E15" s="70">
        <v>681</v>
      </c>
      <c r="F15" s="118" t="s">
        <v>32</v>
      </c>
      <c r="G15" s="118">
        <v>45635</v>
      </c>
      <c r="H15" s="118">
        <f t="shared" si="0"/>
        <v>46000</v>
      </c>
      <c r="I15" s="118" t="str">
        <f t="shared" ca="1" si="1"/>
        <v>CERTIFICADO</v>
      </c>
      <c r="J15" s="118" t="s">
        <v>26</v>
      </c>
      <c r="K15" s="118" t="s">
        <v>27</v>
      </c>
      <c r="L15" s="119" t="s">
        <v>28</v>
      </c>
      <c r="M15" s="121" t="str">
        <f t="shared" ref="M15:M25" ca="1" si="2">IF(AND(J15="MALO",OR(I15="CERTIFICADO",I15="PROXIMO A VENCER",I15="VENCIDO")),"🔴", IF(AND(J15="BUENO",OR(I15="CERTIFICADO",I15="PROXIMO A VENCER")),"🟢", IF(AND(J15="BUENO",I15="VENCIDO"),"🟡","")))</f>
        <v>🟢</v>
      </c>
    </row>
    <row r="16" spans="1:13">
      <c r="A16" s="44" t="s">
        <v>33</v>
      </c>
      <c r="B16" s="117" t="s">
        <v>22</v>
      </c>
      <c r="C16" s="70" t="s">
        <v>34</v>
      </c>
      <c r="D16" s="70" t="s">
        <v>35</v>
      </c>
      <c r="E16" s="70" t="s">
        <v>25</v>
      </c>
      <c r="F16" s="70">
        <v>104696</v>
      </c>
      <c r="G16" s="118">
        <v>45628</v>
      </c>
      <c r="H16" s="118">
        <f t="shared" si="0"/>
        <v>45993</v>
      </c>
      <c r="I16" s="118" t="str">
        <f t="shared" ca="1" si="1"/>
        <v>CERTIFICADO</v>
      </c>
      <c r="J16" s="118" t="s">
        <v>26</v>
      </c>
      <c r="K16" s="118" t="s">
        <v>27</v>
      </c>
      <c r="L16" s="119" t="s">
        <v>36</v>
      </c>
      <c r="M16" s="121" t="str">
        <f ca="1">IF(AND(J16="MALO",OR(I16="CERTIFICADO",I16="PROXIMO A VENCER",I16="VENCIDO")),"🔴", IF(AND(J16="BUENO",OR(I16="CERTIFICADO",I16="PROXIMO A VENCER")),"🟢", IF(AND(J16="BUENO",I16="VENCIDO"),"🟡","")))</f>
        <v>🟢</v>
      </c>
    </row>
    <row r="17" spans="1:13">
      <c r="A17" s="44" t="s">
        <v>37</v>
      </c>
      <c r="B17" s="117" t="s">
        <v>38</v>
      </c>
      <c r="C17" s="70" t="s">
        <v>39</v>
      </c>
      <c r="D17" s="70" t="s">
        <v>40</v>
      </c>
      <c r="E17" s="120" t="s">
        <v>41</v>
      </c>
      <c r="F17" s="120" t="s">
        <v>42</v>
      </c>
      <c r="G17" s="118">
        <v>45594</v>
      </c>
      <c r="H17" s="118">
        <f t="shared" si="0"/>
        <v>45959</v>
      </c>
      <c r="I17" s="118" t="str">
        <f t="shared" ca="1" si="1"/>
        <v>VENCIDO</v>
      </c>
      <c r="J17" s="118" t="s">
        <v>26</v>
      </c>
      <c r="K17" s="118" t="s">
        <v>27</v>
      </c>
      <c r="L17" s="119" t="s">
        <v>43</v>
      </c>
      <c r="M17" s="121" t="str">
        <f t="shared" ca="1" si="2"/>
        <v>🟡</v>
      </c>
    </row>
    <row r="18" spans="1:13">
      <c r="A18" s="44" t="s">
        <v>44</v>
      </c>
      <c r="B18" s="117" t="s">
        <v>22</v>
      </c>
      <c r="C18" s="70" t="s">
        <v>34</v>
      </c>
      <c r="D18" s="70">
        <v>12652</v>
      </c>
      <c r="E18" s="120" t="s">
        <v>25</v>
      </c>
      <c r="F18" s="120">
        <v>322944</v>
      </c>
      <c r="G18" s="118">
        <v>45775</v>
      </c>
      <c r="H18" s="118">
        <f t="shared" si="0"/>
        <v>46140</v>
      </c>
      <c r="I18" s="118" t="str">
        <f t="shared" ca="1" si="1"/>
        <v>CERTIFICADO</v>
      </c>
      <c r="J18" s="118" t="s">
        <v>26</v>
      </c>
      <c r="K18" s="118" t="s">
        <v>45</v>
      </c>
      <c r="L18" s="119" t="s">
        <v>46</v>
      </c>
      <c r="M18" s="121" t="str">
        <f t="shared" ca="1" si="2"/>
        <v>🟢</v>
      </c>
    </row>
    <row r="19" spans="1:13">
      <c r="A19" s="44" t="s">
        <v>47</v>
      </c>
      <c r="B19" s="117" t="s">
        <v>22</v>
      </c>
      <c r="C19" s="70" t="s">
        <v>48</v>
      </c>
      <c r="D19" s="70" t="s">
        <v>49</v>
      </c>
      <c r="E19" s="70" t="s">
        <v>49</v>
      </c>
      <c r="F19" s="70" t="s">
        <v>49</v>
      </c>
      <c r="G19" s="70">
        <v>0</v>
      </c>
      <c r="H19" s="70">
        <v>0</v>
      </c>
      <c r="I19" s="118" t="str">
        <f t="shared" ca="1" si="1"/>
        <v>VENCIDO</v>
      </c>
      <c r="J19" s="118" t="s">
        <v>26</v>
      </c>
      <c r="K19" s="70" t="s">
        <v>49</v>
      </c>
      <c r="L19" s="70" t="s">
        <v>49</v>
      </c>
      <c r="M19" s="121" t="str">
        <f t="shared" ca="1" si="2"/>
        <v>🟡</v>
      </c>
    </row>
    <row r="20" spans="1:13">
      <c r="A20" s="44" t="s">
        <v>50</v>
      </c>
      <c r="B20" s="117" t="s">
        <v>51</v>
      </c>
      <c r="C20" s="70" t="s">
        <v>52</v>
      </c>
      <c r="D20" s="70" t="s">
        <v>53</v>
      </c>
      <c r="E20" s="120" t="s">
        <v>54</v>
      </c>
      <c r="F20" s="120" t="s">
        <v>55</v>
      </c>
      <c r="G20" s="118">
        <v>45796</v>
      </c>
      <c r="H20" s="118">
        <f t="shared" si="0"/>
        <v>46161</v>
      </c>
      <c r="I20" s="118" t="str">
        <f t="shared" ca="1" si="1"/>
        <v>CERTIFICADO</v>
      </c>
      <c r="J20" s="118" t="s">
        <v>26</v>
      </c>
      <c r="K20" s="118" t="s">
        <v>56</v>
      </c>
      <c r="L20" s="119" t="s">
        <v>57</v>
      </c>
      <c r="M20" s="121" t="str">
        <f t="shared" ca="1" si="2"/>
        <v>🟢</v>
      </c>
    </row>
    <row r="21" spans="1:13" ht="17.25" customHeight="1">
      <c r="A21" s="44" t="s">
        <v>58</v>
      </c>
      <c r="B21" s="117" t="s">
        <v>59</v>
      </c>
      <c r="C21" s="70" t="s">
        <v>60</v>
      </c>
      <c r="D21" s="70" t="s">
        <v>61</v>
      </c>
      <c r="E21" s="120" t="s">
        <v>62</v>
      </c>
      <c r="F21" s="120">
        <v>1212181369</v>
      </c>
      <c r="G21" s="118">
        <v>45796</v>
      </c>
      <c r="H21" s="118">
        <f t="shared" si="0"/>
        <v>46161</v>
      </c>
      <c r="I21" s="118" t="str">
        <f t="shared" ca="1" si="1"/>
        <v>CERTIFICADO</v>
      </c>
      <c r="J21" s="118" t="s">
        <v>26</v>
      </c>
      <c r="K21" s="118" t="s">
        <v>56</v>
      </c>
      <c r="L21" s="119" t="s">
        <v>63</v>
      </c>
      <c r="M21" s="121" t="str">
        <f t="shared" ca="1" si="2"/>
        <v>🟢</v>
      </c>
    </row>
    <row r="22" spans="1:13">
      <c r="A22" s="44" t="s">
        <v>64</v>
      </c>
      <c r="B22" s="117" t="s">
        <v>59</v>
      </c>
      <c r="C22" s="70" t="s">
        <v>65</v>
      </c>
      <c r="D22" s="70" t="s">
        <v>66</v>
      </c>
      <c r="E22" s="120" t="s">
        <v>67</v>
      </c>
      <c r="F22" s="120" t="s">
        <v>68</v>
      </c>
      <c r="G22" s="118">
        <v>45796</v>
      </c>
      <c r="H22" s="118">
        <f t="shared" si="0"/>
        <v>46161</v>
      </c>
      <c r="I22" s="118" t="str">
        <f t="shared" ca="1" si="1"/>
        <v>CERTIFICADO</v>
      </c>
      <c r="J22" s="118" t="s">
        <v>26</v>
      </c>
      <c r="K22" s="118" t="s">
        <v>56</v>
      </c>
      <c r="L22" s="119" t="s">
        <v>69</v>
      </c>
      <c r="M22" s="121" t="str">
        <f t="shared" ca="1" si="2"/>
        <v>🟢</v>
      </c>
    </row>
    <row r="23" spans="1:13">
      <c r="A23" s="168" t="s">
        <v>70</v>
      </c>
      <c r="B23" s="132" t="s">
        <v>71</v>
      </c>
      <c r="C23" s="134" t="s">
        <v>72</v>
      </c>
      <c r="D23" s="67" t="s">
        <v>73</v>
      </c>
      <c r="E23" s="136">
        <v>622</v>
      </c>
      <c r="F23" s="136" t="s">
        <v>74</v>
      </c>
      <c r="G23" s="68">
        <v>45695</v>
      </c>
      <c r="H23" s="68">
        <f t="shared" si="0"/>
        <v>46060</v>
      </c>
      <c r="I23" s="68" t="str">
        <f t="shared" ca="1" si="1"/>
        <v>CERTIFICADO</v>
      </c>
      <c r="J23" s="118" t="s">
        <v>26</v>
      </c>
      <c r="K23" s="68" t="s">
        <v>75</v>
      </c>
      <c r="L23" s="114" t="s">
        <v>76</v>
      </c>
      <c r="M23" s="121" t="str">
        <f t="shared" ca="1" si="2"/>
        <v>🟢</v>
      </c>
    </row>
    <row r="24" spans="1:13">
      <c r="A24" s="169"/>
      <c r="B24" s="133"/>
      <c r="C24" s="135"/>
      <c r="D24" s="69" t="s">
        <v>77</v>
      </c>
      <c r="E24" s="137"/>
      <c r="F24" s="137"/>
      <c r="G24" s="68">
        <v>45793</v>
      </c>
      <c r="H24" s="68">
        <f t="shared" si="0"/>
        <v>46158</v>
      </c>
      <c r="I24" s="68" t="str">
        <f t="shared" ca="1" si="1"/>
        <v>CERTIFICADO</v>
      </c>
      <c r="J24" s="118" t="s">
        <v>26</v>
      </c>
      <c r="K24" s="68" t="s">
        <v>78</v>
      </c>
      <c r="L24" s="115" t="s">
        <v>79</v>
      </c>
      <c r="M24" s="121" t="str">
        <f t="shared" ca="1" si="2"/>
        <v>🟢</v>
      </c>
    </row>
    <row r="25" spans="1:13">
      <c r="A25" s="44" t="s">
        <v>80</v>
      </c>
      <c r="B25" s="117" t="s">
        <v>81</v>
      </c>
      <c r="C25" s="70" t="s">
        <v>82</v>
      </c>
      <c r="D25" s="70" t="s">
        <v>83</v>
      </c>
      <c r="E25" s="120" t="s">
        <v>84</v>
      </c>
      <c r="F25" s="120">
        <v>50898</v>
      </c>
      <c r="G25" s="118">
        <v>45798</v>
      </c>
      <c r="H25" s="118">
        <f t="shared" si="0"/>
        <v>46163</v>
      </c>
      <c r="I25" s="126" t="str">
        <f t="shared" ca="1" si="1"/>
        <v>CERTIFICADO</v>
      </c>
      <c r="J25" s="118" t="s">
        <v>26</v>
      </c>
      <c r="K25" s="127" t="s">
        <v>85</v>
      </c>
      <c r="L25" s="116" t="s">
        <v>86</v>
      </c>
      <c r="M25" s="121" t="str">
        <f t="shared" ca="1" si="2"/>
        <v>🟢</v>
      </c>
    </row>
    <row r="27" spans="1:13">
      <c r="A27" s="138" t="s">
        <v>87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</row>
    <row r="28" spans="1:13" ht="30.75">
      <c r="A28" s="124" t="s">
        <v>8</v>
      </c>
      <c r="B28" s="124" t="s">
        <v>9</v>
      </c>
      <c r="C28" s="125" t="s">
        <v>10</v>
      </c>
      <c r="D28" s="125" t="s">
        <v>11</v>
      </c>
      <c r="E28" s="125" t="s">
        <v>12</v>
      </c>
      <c r="F28" s="125" t="s">
        <v>13</v>
      </c>
      <c r="G28" s="125" t="s">
        <v>14</v>
      </c>
      <c r="H28" s="125" t="s">
        <v>15</v>
      </c>
      <c r="I28" s="125" t="s">
        <v>88</v>
      </c>
      <c r="J28" s="125" t="s">
        <v>17</v>
      </c>
      <c r="K28" s="125" t="s">
        <v>18</v>
      </c>
      <c r="L28" s="125" t="s">
        <v>19</v>
      </c>
      <c r="M28" s="125" t="s">
        <v>20</v>
      </c>
    </row>
    <row r="29" spans="1:13">
      <c r="A29" s="45" t="s">
        <v>89</v>
      </c>
      <c r="B29" s="27" t="s">
        <v>90</v>
      </c>
      <c r="C29" s="28" t="s">
        <v>91</v>
      </c>
      <c r="D29" s="28">
        <v>8472</v>
      </c>
      <c r="E29" s="30" t="s">
        <v>92</v>
      </c>
      <c r="F29" s="30" t="s">
        <v>93</v>
      </c>
      <c r="G29" s="30">
        <v>45786</v>
      </c>
      <c r="H29" s="30">
        <f t="shared" ref="H29:H33" si="3">+G29+365</f>
        <v>46151</v>
      </c>
      <c r="I29" s="30" t="str">
        <f t="shared" ref="I29:I33" ca="1" si="4">IF(H29&lt;TODAY(),"VENCIDO",IF(H29-TODAY()&lt;15,"PROXIMO A VENCER","CERTIFICADO"))</f>
        <v>CERTIFICADO</v>
      </c>
      <c r="J29" s="118" t="s">
        <v>26</v>
      </c>
      <c r="K29" s="30" t="s">
        <v>94</v>
      </c>
      <c r="L29" s="28" t="s">
        <v>95</v>
      </c>
      <c r="M29" s="121" t="str">
        <f ca="1">IF(AND(J29="MALO",OR(I29="CERTIFICADO",I29="PROXIMO A VENCER",I29="VENCIDO")),"🔴", IF(AND(J29="BUENO",OR(I29="CERTIFICADO",I29="PROXIMO A VENCER")),"🟢", IF(AND(J29="BUENO",I29="VENCIDO"),"🟡","")))</f>
        <v>🟢</v>
      </c>
    </row>
    <row r="30" spans="1:13">
      <c r="A30" s="45" t="s">
        <v>96</v>
      </c>
      <c r="B30" s="27" t="s">
        <v>90</v>
      </c>
      <c r="C30" s="28" t="s">
        <v>97</v>
      </c>
      <c r="D30" s="28">
        <v>8531</v>
      </c>
      <c r="E30" s="30" t="s">
        <v>98</v>
      </c>
      <c r="F30" s="31" t="s">
        <v>99</v>
      </c>
      <c r="G30" s="30">
        <v>45824</v>
      </c>
      <c r="H30" s="30">
        <f t="shared" si="3"/>
        <v>46189</v>
      </c>
      <c r="I30" s="30" t="str">
        <f t="shared" ca="1" si="4"/>
        <v>CERTIFICADO</v>
      </c>
      <c r="J30" s="118" t="s">
        <v>26</v>
      </c>
      <c r="K30" s="30" t="s">
        <v>94</v>
      </c>
      <c r="L30" s="28" t="s">
        <v>100</v>
      </c>
      <c r="M30" s="121" t="str">
        <f t="shared" ref="M30:M33" ca="1" si="5">IF(AND(J30="MALO",OR(I30="CERTIFICADO",I30="PROXIMO A VENCER",I30="VENCIDO")),"🔴", IF(AND(J30="BUENO",OR(I30="CERTIFICADO",I30="PROXIMO A VENCER")),"🟢", IF(AND(J30="BUENO",I30="VENCIDO"),"🟡","")))</f>
        <v>🟢</v>
      </c>
    </row>
    <row r="31" spans="1:13">
      <c r="A31" s="45" t="s">
        <v>101</v>
      </c>
      <c r="B31" s="27" t="s">
        <v>90</v>
      </c>
      <c r="C31" s="28" t="s">
        <v>91</v>
      </c>
      <c r="D31" s="28">
        <v>8217</v>
      </c>
      <c r="E31" s="30" t="s">
        <v>102</v>
      </c>
      <c r="F31" s="28">
        <v>2309210270</v>
      </c>
      <c r="G31" s="30">
        <v>45611</v>
      </c>
      <c r="H31" s="30">
        <f t="shared" si="3"/>
        <v>45976</v>
      </c>
      <c r="I31" s="30" t="str">
        <f t="shared" ca="1" si="4"/>
        <v>PROXIMO A VENCER</v>
      </c>
      <c r="J31" s="118" t="s">
        <v>26</v>
      </c>
      <c r="K31" s="30" t="s">
        <v>94</v>
      </c>
      <c r="L31" s="28" t="s">
        <v>103</v>
      </c>
      <c r="M31" s="121" t="str">
        <f t="shared" ca="1" si="5"/>
        <v>🟢</v>
      </c>
    </row>
    <row r="32" spans="1:13">
      <c r="A32" s="45" t="s">
        <v>104</v>
      </c>
      <c r="B32" s="27" t="s">
        <v>105</v>
      </c>
      <c r="C32" s="28" t="s">
        <v>106</v>
      </c>
      <c r="D32" s="28">
        <v>13029</v>
      </c>
      <c r="E32" s="31" t="s">
        <v>107</v>
      </c>
      <c r="F32" s="31" t="s">
        <v>108</v>
      </c>
      <c r="G32" s="30">
        <v>45901</v>
      </c>
      <c r="H32" s="30">
        <f t="shared" si="3"/>
        <v>46266</v>
      </c>
      <c r="I32" s="30" t="str">
        <f t="shared" ca="1" si="4"/>
        <v>CERTIFICADO</v>
      </c>
      <c r="J32" s="118" t="s">
        <v>26</v>
      </c>
      <c r="K32" s="30" t="s">
        <v>45</v>
      </c>
      <c r="L32" s="28" t="s">
        <v>109</v>
      </c>
      <c r="M32" s="121" t="str">
        <f t="shared" ca="1" si="5"/>
        <v>🟢</v>
      </c>
    </row>
    <row r="33" spans="1:13">
      <c r="A33" s="45" t="s">
        <v>110</v>
      </c>
      <c r="B33" s="27" t="s">
        <v>105</v>
      </c>
      <c r="C33" s="28" t="s">
        <v>106</v>
      </c>
      <c r="D33" s="28">
        <v>13030</v>
      </c>
      <c r="E33" s="31" t="s">
        <v>107</v>
      </c>
      <c r="F33" s="31">
        <v>20275210</v>
      </c>
      <c r="G33" s="30">
        <v>45897</v>
      </c>
      <c r="H33" s="30">
        <f t="shared" si="3"/>
        <v>46262</v>
      </c>
      <c r="I33" s="30" t="str">
        <f t="shared" ca="1" si="4"/>
        <v>CERTIFICADO</v>
      </c>
      <c r="J33" s="118" t="s">
        <v>26</v>
      </c>
      <c r="K33" s="30" t="s">
        <v>45</v>
      </c>
      <c r="L33" s="28" t="s">
        <v>111</v>
      </c>
      <c r="M33" s="121" t="str">
        <f t="shared" ca="1" si="5"/>
        <v>🟢</v>
      </c>
    </row>
    <row r="35" spans="1:13">
      <c r="A35" s="138" t="s">
        <v>112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</row>
    <row r="36" spans="1:13" ht="30.75">
      <c r="A36" s="124" t="s">
        <v>8</v>
      </c>
      <c r="B36" s="124" t="s">
        <v>9</v>
      </c>
      <c r="C36" s="125" t="s">
        <v>10</v>
      </c>
      <c r="D36" s="125" t="s">
        <v>11</v>
      </c>
      <c r="E36" s="125" t="s">
        <v>12</v>
      </c>
      <c r="F36" s="125" t="s">
        <v>13</v>
      </c>
      <c r="G36" s="125" t="s">
        <v>14</v>
      </c>
      <c r="H36" s="125" t="s">
        <v>15</v>
      </c>
      <c r="I36" s="125" t="s">
        <v>88</v>
      </c>
      <c r="J36" s="125" t="s">
        <v>17</v>
      </c>
      <c r="K36" s="125" t="s">
        <v>18</v>
      </c>
      <c r="L36" s="125" t="s">
        <v>19</v>
      </c>
      <c r="M36" s="125" t="s">
        <v>20</v>
      </c>
    </row>
    <row r="37" spans="1:13">
      <c r="A37" s="45" t="s">
        <v>113</v>
      </c>
      <c r="B37" s="27" t="s">
        <v>90</v>
      </c>
      <c r="C37" s="28" t="s">
        <v>91</v>
      </c>
      <c r="D37" s="28">
        <v>8642</v>
      </c>
      <c r="E37" s="30" t="s">
        <v>114</v>
      </c>
      <c r="F37" s="30" t="s">
        <v>115</v>
      </c>
      <c r="G37" s="30">
        <v>45860</v>
      </c>
      <c r="H37" s="30">
        <f t="shared" ref="H37:H40" si="6">+G37+365</f>
        <v>46225</v>
      </c>
      <c r="I37" s="30" t="str">
        <f ca="1">IF(H37&lt;TODAY(),"VENCIDO",IF(H37-TODAY()&lt;15,"PROXIMO A VENCER","CERTIFICADO"))</f>
        <v>CERTIFICADO</v>
      </c>
      <c r="J37" s="118" t="s">
        <v>26</v>
      </c>
      <c r="K37" s="30" t="s">
        <v>94</v>
      </c>
      <c r="L37" s="32" t="s">
        <v>116</v>
      </c>
      <c r="M37" s="121" t="str">
        <f t="shared" ref="M37:M44" ca="1" si="7">IF(AND(J37="MALO",OR(I37="CERTIFICADO",I37="PROXIMO A VENCER",I37="VENCIDO")),"🔴", IF(AND(J37="BUENO",OR(I37="CERTIFICADO",I37="PROXIMO A VENCER")),"🟢", IF(AND(J37="BUENO",I37="VENCIDO"),"🟡","")))</f>
        <v>🟢</v>
      </c>
    </row>
    <row r="38" spans="1:13">
      <c r="A38" s="45" t="s">
        <v>117</v>
      </c>
      <c r="B38" s="27" t="s">
        <v>90</v>
      </c>
      <c r="C38" s="28" t="s">
        <v>118</v>
      </c>
      <c r="D38" s="28">
        <v>7838</v>
      </c>
      <c r="E38" s="30" t="s">
        <v>119</v>
      </c>
      <c r="F38" s="30" t="s">
        <v>120</v>
      </c>
      <c r="G38" s="30">
        <v>45363</v>
      </c>
      <c r="H38" s="30">
        <f t="shared" si="6"/>
        <v>45728</v>
      </c>
      <c r="I38" s="30" t="str">
        <f t="shared" ref="I38:I40" ca="1" si="8">IF(H38&lt;TODAY(),"VENCIDO",IF(H38-TODAY()&lt;15,"PROXIMO A VENCER","CERTIFICADO"))</f>
        <v>VENCIDO</v>
      </c>
      <c r="J38" s="118" t="s">
        <v>26</v>
      </c>
      <c r="K38" s="30" t="s">
        <v>94</v>
      </c>
      <c r="L38" s="28" t="s">
        <v>95</v>
      </c>
      <c r="M38" s="121" t="str">
        <f t="shared" ca="1" si="7"/>
        <v>🟡</v>
      </c>
    </row>
    <row r="39" spans="1:13">
      <c r="A39" s="45" t="s">
        <v>121</v>
      </c>
      <c r="B39" s="27" t="s">
        <v>90</v>
      </c>
      <c r="C39" s="28" t="s">
        <v>122</v>
      </c>
      <c r="D39" s="28">
        <v>8532</v>
      </c>
      <c r="E39" s="30" t="s">
        <v>123</v>
      </c>
      <c r="F39" s="28">
        <v>810551</v>
      </c>
      <c r="G39" s="30">
        <v>45824</v>
      </c>
      <c r="H39" s="30">
        <f t="shared" si="6"/>
        <v>46189</v>
      </c>
      <c r="I39" s="30" t="str">
        <f ca="1">IF(H39&lt;TODAY(),"VENCIDO",IF(H39-TODAY()&lt;15,"PROXIMO A VENCER","CERTIFICADO"))</f>
        <v>CERTIFICADO</v>
      </c>
      <c r="J39" s="118" t="s">
        <v>26</v>
      </c>
      <c r="K39" s="30" t="s">
        <v>94</v>
      </c>
      <c r="L39" s="28" t="s">
        <v>124</v>
      </c>
      <c r="M39" s="121" t="str">
        <f t="shared" ca="1" si="7"/>
        <v>🟢</v>
      </c>
    </row>
    <row r="40" spans="1:13">
      <c r="A40" s="45" t="s">
        <v>125</v>
      </c>
      <c r="B40" s="27" t="s">
        <v>90</v>
      </c>
      <c r="C40" s="28" t="s">
        <v>91</v>
      </c>
      <c r="D40" s="28">
        <v>8533</v>
      </c>
      <c r="E40" s="30" t="s">
        <v>126</v>
      </c>
      <c r="F40" s="30" t="s">
        <v>127</v>
      </c>
      <c r="G40" s="30">
        <v>45824</v>
      </c>
      <c r="H40" s="30">
        <f t="shared" si="6"/>
        <v>46189</v>
      </c>
      <c r="I40" s="30" t="str">
        <f t="shared" ca="1" si="8"/>
        <v>CERTIFICADO</v>
      </c>
      <c r="J40" s="118" t="s">
        <v>26</v>
      </c>
      <c r="K40" s="30" t="s">
        <v>94</v>
      </c>
      <c r="L40" s="28" t="s">
        <v>128</v>
      </c>
      <c r="M40" s="121" t="str">
        <f t="shared" ca="1" si="7"/>
        <v>🟢</v>
      </c>
    </row>
    <row r="41" spans="1:13">
      <c r="A41" s="45" t="s">
        <v>129</v>
      </c>
      <c r="B41" s="27" t="s">
        <v>105</v>
      </c>
      <c r="C41" s="28" t="s">
        <v>106</v>
      </c>
      <c r="D41" s="28">
        <v>13098</v>
      </c>
      <c r="E41" s="31" t="s">
        <v>107</v>
      </c>
      <c r="F41" s="31">
        <v>92833390</v>
      </c>
      <c r="G41" s="30">
        <v>45919</v>
      </c>
      <c r="H41" s="30">
        <f>+G41+365</f>
        <v>46284</v>
      </c>
      <c r="I41" s="30" t="str">
        <f ca="1">IF(H41&lt;TODAY(),"VENCIDO",IF(H41-TODAY()&lt;15,"PROXIMO A VENCER","CERTIFICADO"))</f>
        <v>CERTIFICADO</v>
      </c>
      <c r="J41" s="118" t="s">
        <v>26</v>
      </c>
      <c r="K41" s="30" t="s">
        <v>45</v>
      </c>
      <c r="L41" s="28" t="s">
        <v>130</v>
      </c>
      <c r="M41" s="121" t="str">
        <f t="shared" ca="1" si="7"/>
        <v>🟢</v>
      </c>
    </row>
    <row r="42" spans="1:13">
      <c r="A42" s="45" t="s">
        <v>131</v>
      </c>
      <c r="B42" s="27" t="s">
        <v>105</v>
      </c>
      <c r="C42" s="28" t="s">
        <v>132</v>
      </c>
      <c r="D42" s="28">
        <v>13032</v>
      </c>
      <c r="E42" s="31">
        <v>3000</v>
      </c>
      <c r="F42" s="31">
        <v>2074022</v>
      </c>
      <c r="G42" s="30">
        <v>45901</v>
      </c>
      <c r="H42" s="30">
        <f t="shared" ref="H42:H44" si="9">+G42+365</f>
        <v>46266</v>
      </c>
      <c r="I42" s="30" t="str">
        <f t="shared" ref="I42:I43" ca="1" si="10">IF(H42&lt;TODAY(),"VENCIDO",IF(H42-TODAY()&lt;15,"PROXIMO A VENCER","CERTIFICADO"))</f>
        <v>CERTIFICADO</v>
      </c>
      <c r="J42" s="118" t="s">
        <v>133</v>
      </c>
      <c r="K42" s="30" t="s">
        <v>45</v>
      </c>
      <c r="L42" s="28" t="s">
        <v>46</v>
      </c>
      <c r="M42" s="121" t="str">
        <f t="shared" ca="1" si="7"/>
        <v>🔴</v>
      </c>
    </row>
    <row r="43" spans="1:13">
      <c r="A43" s="45" t="s">
        <v>134</v>
      </c>
      <c r="B43" s="27" t="s">
        <v>105</v>
      </c>
      <c r="C43" s="28" t="s">
        <v>135</v>
      </c>
      <c r="D43" s="28">
        <v>13031</v>
      </c>
      <c r="E43" s="31" t="s">
        <v>136</v>
      </c>
      <c r="F43" s="31">
        <v>11121025</v>
      </c>
      <c r="G43" s="30">
        <v>45897</v>
      </c>
      <c r="H43" s="30">
        <f t="shared" si="9"/>
        <v>46262</v>
      </c>
      <c r="I43" s="30" t="str">
        <f t="shared" ca="1" si="10"/>
        <v>CERTIFICADO</v>
      </c>
      <c r="J43" s="118" t="s">
        <v>26</v>
      </c>
      <c r="K43" s="30" t="s">
        <v>45</v>
      </c>
      <c r="L43" s="28" t="s">
        <v>36</v>
      </c>
      <c r="M43" s="121" t="str">
        <f t="shared" ca="1" si="7"/>
        <v>🟢</v>
      </c>
    </row>
    <row r="44" spans="1:13">
      <c r="A44" s="45" t="s">
        <v>137</v>
      </c>
      <c r="B44" s="27" t="s">
        <v>105</v>
      </c>
      <c r="C44" s="28" t="s">
        <v>138</v>
      </c>
      <c r="D44" s="28" t="s">
        <v>139</v>
      </c>
      <c r="E44" s="28" t="s">
        <v>140</v>
      </c>
      <c r="F44" s="28" t="s">
        <v>141</v>
      </c>
      <c r="G44" s="30">
        <v>45062</v>
      </c>
      <c r="H44" s="30">
        <f t="shared" si="9"/>
        <v>45427</v>
      </c>
      <c r="I44" s="30" t="str">
        <f ca="1">IF(H44&lt;TODAY(),"VENCIDO",IF(H44-TODAY()&lt;15,"PROXIMO A VENCER","CERTIFICADO"))</f>
        <v>VENCIDO</v>
      </c>
      <c r="J44" s="118" t="s">
        <v>26</v>
      </c>
      <c r="K44" s="30" t="s">
        <v>27</v>
      </c>
      <c r="L44" s="28" t="s">
        <v>142</v>
      </c>
      <c r="M44" s="121" t="str">
        <f t="shared" ca="1" si="7"/>
        <v>🟡</v>
      </c>
    </row>
    <row r="87" spans="2:2">
      <c r="B87" s="113"/>
    </row>
    <row r="88" spans="2:2">
      <c r="B88" s="113"/>
    </row>
    <row r="89" spans="2:2">
      <c r="B89" s="113"/>
    </row>
  </sheetData>
  <sortState xmlns:xlrd2="http://schemas.microsoft.com/office/spreadsheetml/2017/richdata2" ref="B30:I35">
    <sortCondition ref="B28:B35"/>
  </sortState>
  <mergeCells count="20">
    <mergeCell ref="C6:D6"/>
    <mergeCell ref="C9:F9"/>
    <mergeCell ref="A23:A24"/>
    <mergeCell ref="A12:M12"/>
    <mergeCell ref="A27:M27"/>
    <mergeCell ref="B1:B4"/>
    <mergeCell ref="C3:C4"/>
    <mergeCell ref="D3:D4"/>
    <mergeCell ref="E3:E4"/>
    <mergeCell ref="F3:F4"/>
    <mergeCell ref="G3:G4"/>
    <mergeCell ref="H3:H4"/>
    <mergeCell ref="L3:M4"/>
    <mergeCell ref="C1:M2"/>
    <mergeCell ref="I3:J4"/>
    <mergeCell ref="B23:B24"/>
    <mergeCell ref="C23:C24"/>
    <mergeCell ref="E23:E24"/>
    <mergeCell ref="F23:F24"/>
    <mergeCell ref="A35:M35"/>
  </mergeCells>
  <phoneticPr fontId="2" type="noConversion"/>
  <conditionalFormatting sqref="G15:G18 G29:G32 G20:G25">
    <cfRule type="cellIs" dxfId="81" priority="83" operator="equal">
      <formula>"LISTO"</formula>
    </cfRule>
    <cfRule type="cellIs" dxfId="80" priority="84" operator="equal">
      <formula>"FALTA"</formula>
    </cfRule>
  </conditionalFormatting>
  <conditionalFormatting sqref="G37:G38 G40:G41">
    <cfRule type="cellIs" dxfId="79" priority="63" operator="equal">
      <formula>"LISTO"</formula>
    </cfRule>
    <cfRule type="cellIs" dxfId="78" priority="64" operator="equal">
      <formula>"FALTA"</formula>
    </cfRule>
  </conditionalFormatting>
  <conditionalFormatting sqref="I37">
    <cfRule type="colorScale" priority="75">
      <colorScale>
        <cfvo type="min"/>
        <cfvo type="max"/>
        <color rgb="FFFF7128"/>
        <color rgb="FFFFEF9C"/>
      </colorScale>
    </cfRule>
    <cfRule type="cellIs" dxfId="77" priority="76" operator="lessThan">
      <formula>0</formula>
    </cfRule>
  </conditionalFormatting>
  <conditionalFormatting sqref="I38 I42:I44 I29 I31 K29 K31 K42:K44">
    <cfRule type="cellIs" dxfId="76" priority="93" operator="lessThan">
      <formula>0</formula>
    </cfRule>
  </conditionalFormatting>
  <conditionalFormatting sqref="I39">
    <cfRule type="cellIs" dxfId="75" priority="61" operator="lessThan">
      <formula>0</formula>
    </cfRule>
    <cfRule type="colorScale" priority="62">
      <colorScale>
        <cfvo type="min"/>
        <cfvo type="max"/>
        <color rgb="FFFF7128"/>
        <color rgb="FFFFEF9C"/>
      </colorScale>
    </cfRule>
  </conditionalFormatting>
  <conditionalFormatting sqref="I40">
    <cfRule type="colorScale" priority="67">
      <colorScale>
        <cfvo type="min"/>
        <cfvo type="max"/>
        <color rgb="FFFF7128"/>
        <color rgb="FFFFEF9C"/>
      </colorScale>
    </cfRule>
    <cfRule type="cellIs" dxfId="74" priority="68" operator="lessThan">
      <formula>0</formula>
    </cfRule>
  </conditionalFormatting>
  <conditionalFormatting sqref="I14:K16 J15:J25">
    <cfRule type="colorScale" priority="89">
      <colorScale>
        <cfvo type="min"/>
        <cfvo type="max"/>
        <color rgb="FFFF7128"/>
        <color rgb="FFFFEF9C"/>
      </colorScale>
    </cfRule>
    <cfRule type="cellIs" dxfId="73" priority="90" operator="lessThan">
      <formula>0</formula>
    </cfRule>
  </conditionalFormatting>
  <conditionalFormatting sqref="I31:I33 I41 K31:K33 K41 I14:K18 I20:K25 J15:J25">
    <cfRule type="containsText" dxfId="72" priority="87" operator="containsText" text="PROXIMO A VENCER">
      <formula>NOT(ISERROR(SEARCH("PROXIMO A VENCER",I14)))</formula>
    </cfRule>
  </conditionalFormatting>
  <conditionalFormatting sqref="I17:K18 I20:K25">
    <cfRule type="colorScale" priority="85">
      <colorScale>
        <cfvo type="min"/>
        <cfvo type="max"/>
        <color rgb="FFFF7128"/>
        <color rgb="FFFFEF9C"/>
      </colorScale>
    </cfRule>
    <cfRule type="cellIs" dxfId="71" priority="88" operator="lessThan">
      <formula>0</formula>
    </cfRule>
  </conditionalFormatting>
  <conditionalFormatting sqref="K29 I29">
    <cfRule type="colorScale" priority="91">
      <colorScale>
        <cfvo type="min"/>
        <cfvo type="max"/>
        <color rgb="FFFF7128"/>
        <color rgb="FFFFEF9C"/>
      </colorScale>
    </cfRule>
  </conditionalFormatting>
  <conditionalFormatting sqref="I29:I30 K29:K30">
    <cfRule type="containsText" dxfId="70" priority="65" operator="containsText" text="VENCIDO">
      <formula>NOT(ISERROR(SEARCH("VENCIDO",I29)))</formula>
    </cfRule>
    <cfRule type="containsText" dxfId="69" priority="66" operator="containsText" text="PROXIMO A VENCER">
      <formula>NOT(ISERROR(SEARCH("PROXIMO A VENCER",I29)))</formula>
    </cfRule>
  </conditionalFormatting>
  <conditionalFormatting sqref="I30 K30">
    <cfRule type="colorScale" priority="69">
      <colorScale>
        <cfvo type="min"/>
        <cfvo type="max"/>
        <color rgb="FFFF7128"/>
        <color rgb="FFFFEF9C"/>
      </colorScale>
    </cfRule>
    <cfRule type="cellIs" dxfId="68" priority="70" operator="lessThan">
      <formula>0</formula>
    </cfRule>
  </conditionalFormatting>
  <conditionalFormatting sqref="K31 I31">
    <cfRule type="colorScale" priority="94">
      <colorScale>
        <cfvo type="min"/>
        <cfvo type="max"/>
        <color rgb="FFFF7128"/>
        <color rgb="FFFFEF9C"/>
      </colorScale>
    </cfRule>
  </conditionalFormatting>
  <conditionalFormatting sqref="K32 I32">
    <cfRule type="colorScale" priority="79">
      <colorScale>
        <cfvo type="min"/>
        <cfvo type="max"/>
        <color rgb="FFFF7128"/>
        <color rgb="FFFFEF9C"/>
      </colorScale>
    </cfRule>
    <cfRule type="cellIs" dxfId="67" priority="80" operator="lessThan">
      <formula>0</formula>
    </cfRule>
  </conditionalFormatting>
  <conditionalFormatting sqref="K33 I33">
    <cfRule type="colorScale" priority="77">
      <colorScale>
        <cfvo type="min"/>
        <cfvo type="max"/>
        <color rgb="FFFF7128"/>
        <color rgb="FFFFEF9C"/>
      </colorScale>
    </cfRule>
    <cfRule type="cellIs" dxfId="66" priority="78" operator="lessThan">
      <formula>0</formula>
    </cfRule>
  </conditionalFormatting>
  <conditionalFormatting sqref="I37:I41 K37:K41">
    <cfRule type="containsText" dxfId="65" priority="46" operator="containsText" text="VENCIDO">
      <formula>NOT(ISERROR(SEARCH("VENCIDO",I37)))</formula>
    </cfRule>
    <cfRule type="containsText" dxfId="64" priority="47" operator="containsText" text="PROXIMO A VENCER">
      <formula>NOT(ISERROR(SEARCH("PROXIMO A VENCER",I37)))</formula>
    </cfRule>
  </conditionalFormatting>
  <conditionalFormatting sqref="I41 I31:I33 K31:K33 K41 I14:K18 I20:K25 J15:J25">
    <cfRule type="containsText" dxfId="63" priority="86" operator="containsText" text="VENCIDO">
      <formula>NOT(ISERROR(SEARCH("VENCIDO",I14)))</formula>
    </cfRule>
  </conditionalFormatting>
  <conditionalFormatting sqref="K41 I41">
    <cfRule type="colorScale" priority="81">
      <colorScale>
        <cfvo type="min"/>
        <cfvo type="max"/>
        <color rgb="FFFF7128"/>
        <color rgb="FFFFEF9C"/>
      </colorScale>
    </cfRule>
    <cfRule type="cellIs" dxfId="62" priority="82" operator="lessThan">
      <formula>0</formula>
    </cfRule>
  </conditionalFormatting>
  <conditionalFormatting sqref="I42:I44 I38 K42:K44">
    <cfRule type="colorScale" priority="92">
      <colorScale>
        <cfvo type="min"/>
        <cfvo type="max"/>
        <color rgb="FFFF7128"/>
        <color rgb="FFFFEF9C"/>
      </colorScale>
    </cfRule>
  </conditionalFormatting>
  <conditionalFormatting sqref="I42:I44 K42:K44">
    <cfRule type="containsText" dxfId="61" priority="73" operator="containsText" text="VENCIDO">
      <formula>NOT(ISERROR(SEARCH("VENCIDO",I42)))</formula>
    </cfRule>
    <cfRule type="containsText" dxfId="60" priority="74" operator="containsText" text="PROXIMO A VENCER">
      <formula>NOT(ISERROR(SEARCH("PROXIMO A VENCER",I42)))</formula>
    </cfRule>
  </conditionalFormatting>
  <conditionalFormatting sqref="I44 K44">
    <cfRule type="colorScale" priority="71">
      <colorScale>
        <cfvo type="min"/>
        <cfvo type="max"/>
        <color rgb="FFFF7128"/>
        <color rgb="FFFFEF9C"/>
      </colorScale>
    </cfRule>
    <cfRule type="cellIs" dxfId="59" priority="72" operator="lessThan">
      <formula>0</formula>
    </cfRule>
  </conditionalFormatting>
  <conditionalFormatting sqref="K30">
    <cfRule type="colorScale" priority="55">
      <colorScale>
        <cfvo type="min"/>
        <cfvo type="max"/>
        <color rgb="FFFF7128"/>
        <color rgb="FFFFEF9C"/>
      </colorScale>
    </cfRule>
    <cfRule type="cellIs" dxfId="58" priority="56" operator="lessThan">
      <formula>0</formula>
    </cfRule>
  </conditionalFormatting>
  <conditionalFormatting sqref="K31">
    <cfRule type="containsText" dxfId="57" priority="52" operator="containsText" text="VENCIDO">
      <formula>NOT(ISERROR(SEARCH("VENCIDO",K31)))</formula>
    </cfRule>
    <cfRule type="containsText" dxfId="56" priority="53" operator="containsText" text="PROXIMO A VENCER">
      <formula>NOT(ISERROR(SEARCH("PROXIMO A VENCER",K31)))</formula>
    </cfRule>
    <cfRule type="colorScale" priority="54">
      <colorScale>
        <cfvo type="min"/>
        <cfvo type="max"/>
        <color rgb="FFFF7128"/>
        <color rgb="FFFFEF9C"/>
      </colorScale>
    </cfRule>
  </conditionalFormatting>
  <conditionalFormatting sqref="K32">
    <cfRule type="colorScale" priority="59">
      <colorScale>
        <cfvo type="min"/>
        <cfvo type="max"/>
        <color rgb="FFFF7128"/>
        <color rgb="FFFFEF9C"/>
      </colorScale>
    </cfRule>
    <cfRule type="cellIs" dxfId="55" priority="60" operator="lessThan">
      <formula>0</formula>
    </cfRule>
  </conditionalFormatting>
  <conditionalFormatting sqref="K33">
    <cfRule type="colorScale" priority="57">
      <colorScale>
        <cfvo type="min"/>
        <cfvo type="max"/>
        <color rgb="FFFF7128"/>
        <color rgb="FFFFEF9C"/>
      </colorScale>
    </cfRule>
    <cfRule type="cellIs" dxfId="54" priority="58" operator="lessThan">
      <formula>0</formula>
    </cfRule>
  </conditionalFormatting>
  <conditionalFormatting sqref="K37:K39">
    <cfRule type="colorScale" priority="50">
      <colorScale>
        <cfvo type="min"/>
        <cfvo type="max"/>
        <color rgb="FFFF7128"/>
        <color rgb="FFFFEF9C"/>
      </colorScale>
    </cfRule>
    <cfRule type="cellIs" dxfId="53" priority="51" operator="lessThan">
      <formula>0</formula>
    </cfRule>
  </conditionalFormatting>
  <conditionalFormatting sqref="K40">
    <cfRule type="colorScale" priority="48">
      <colorScale>
        <cfvo type="min"/>
        <cfvo type="max"/>
        <color rgb="FFFF7128"/>
        <color rgb="FFFFEF9C"/>
      </colorScale>
    </cfRule>
    <cfRule type="cellIs" dxfId="52" priority="49" operator="lessThan">
      <formula>0</formula>
    </cfRule>
  </conditionalFormatting>
  <conditionalFormatting sqref="K42:K44">
    <cfRule type="containsText" dxfId="51" priority="43" operator="containsText" text="VENCIDO">
      <formula>NOT(ISERROR(SEARCH("VENCIDO",K42)))</formula>
    </cfRule>
    <cfRule type="containsText" dxfId="50" priority="44" operator="containsText" text="PROXIMO A VENCER">
      <formula>NOT(ISERROR(SEARCH("PROXIMO A VENCER",K42)))</formula>
    </cfRule>
    <cfRule type="colorScale" priority="45">
      <colorScale>
        <cfvo type="min"/>
        <cfvo type="max"/>
        <color rgb="FFFF7128"/>
        <color rgb="FFFFEF9C"/>
      </colorScale>
    </cfRule>
  </conditionalFormatting>
  <conditionalFormatting sqref="J19">
    <cfRule type="containsText" dxfId="49" priority="15" operator="containsText" text="PROXIMO A VENCER">
      <formula>NOT(ISERROR(SEARCH("PROXIMO A VENCER",J19)))</formula>
    </cfRule>
  </conditionalFormatting>
  <conditionalFormatting sqref="J19">
    <cfRule type="colorScale" priority="13">
      <colorScale>
        <cfvo type="min"/>
        <cfvo type="max"/>
        <color rgb="FFFF7128"/>
        <color rgb="FFFFEF9C"/>
      </colorScale>
    </cfRule>
    <cfRule type="cellIs" dxfId="48" priority="16" operator="lessThan">
      <formula>0</formula>
    </cfRule>
  </conditionalFormatting>
  <conditionalFormatting sqref="J19">
    <cfRule type="containsText" dxfId="47" priority="14" operator="containsText" text="VENCIDO">
      <formula>NOT(ISERROR(SEARCH("VENCIDO",J19)))</formula>
    </cfRule>
  </conditionalFormatting>
  <conditionalFormatting sqref="I19">
    <cfRule type="containsText" dxfId="46" priority="11" operator="containsText" text="PROXIMO A VENCER">
      <formula>NOT(ISERROR(SEARCH("PROXIMO A VENCER",I19)))</formula>
    </cfRule>
  </conditionalFormatting>
  <conditionalFormatting sqref="I19">
    <cfRule type="colorScale" priority="9">
      <colorScale>
        <cfvo type="min"/>
        <cfvo type="max"/>
        <color rgb="FFFF7128"/>
        <color rgb="FFFFEF9C"/>
      </colorScale>
    </cfRule>
    <cfRule type="cellIs" dxfId="45" priority="12" operator="lessThan">
      <formula>0</formula>
    </cfRule>
  </conditionalFormatting>
  <conditionalFormatting sqref="I19">
    <cfRule type="containsText" dxfId="44" priority="10" operator="containsText" text="VENCIDO">
      <formula>NOT(ISERROR(SEARCH("VENCIDO",I19)))</formula>
    </cfRule>
  </conditionalFormatting>
  <conditionalFormatting sqref="J29:J33">
    <cfRule type="colorScale" priority="7">
      <colorScale>
        <cfvo type="min"/>
        <cfvo type="max"/>
        <color rgb="FFFF7128"/>
        <color rgb="FFFFEF9C"/>
      </colorScale>
    </cfRule>
    <cfRule type="cellIs" dxfId="43" priority="8" operator="lessThan">
      <formula>0</formula>
    </cfRule>
  </conditionalFormatting>
  <conditionalFormatting sqref="J29:J33">
    <cfRule type="containsText" dxfId="42" priority="6" operator="containsText" text="PROXIMO A VENCER">
      <formula>NOT(ISERROR(SEARCH("PROXIMO A VENCER",J29)))</formula>
    </cfRule>
  </conditionalFormatting>
  <conditionalFormatting sqref="J29:J33">
    <cfRule type="containsText" dxfId="41" priority="5" operator="containsText" text="VENCIDO">
      <formula>NOT(ISERROR(SEARCH("VENCIDO",J29)))</formula>
    </cfRule>
  </conditionalFormatting>
  <conditionalFormatting sqref="J37:J44">
    <cfRule type="colorScale" priority="3">
      <colorScale>
        <cfvo type="min"/>
        <cfvo type="max"/>
        <color rgb="FFFF7128"/>
        <color rgb="FFFFEF9C"/>
      </colorScale>
    </cfRule>
    <cfRule type="cellIs" dxfId="40" priority="4" operator="lessThan">
      <formula>0</formula>
    </cfRule>
  </conditionalFormatting>
  <conditionalFormatting sqref="J37:J44">
    <cfRule type="containsText" dxfId="39" priority="2" operator="containsText" text="PROXIMO A VENCER">
      <formula>NOT(ISERROR(SEARCH("PROXIMO A VENCER",J37)))</formula>
    </cfRule>
  </conditionalFormatting>
  <conditionalFormatting sqref="J37:J44">
    <cfRule type="containsText" dxfId="38" priority="1" operator="containsText" text="VENCIDO">
      <formula>NOT(ISERROR(SEARCH("VENCIDO",J37)))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CFCA09-48F9-43E7-83EF-9480B1F8BBB2}">
          <x14:formula1>
            <xm:f>datos!$A$1:$A$2</xm:f>
          </x14:formula1>
          <xm:sqref>J14:J25 J29:J33 J37:J44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768D-F674-4624-BA37-78E87633EBD1}">
  <dimension ref="A1:A2"/>
  <sheetViews>
    <sheetView workbookViewId="0">
      <selection activeCell="A3" sqref="A3"/>
    </sheetView>
  </sheetViews>
  <sheetFormatPr defaultRowHeight="15"/>
  <sheetData>
    <row r="1" spans="1:1">
      <c r="A1" t="s">
        <v>26</v>
      </c>
    </row>
    <row r="2" spans="1:1">
      <c r="A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8369-AF30-4F4A-8530-F0D51D73437C}">
  <dimension ref="A2:M20"/>
  <sheetViews>
    <sheetView tabSelected="1" topLeftCell="B19" zoomScale="77" workbookViewId="0">
      <selection activeCell="F3" sqref="F3"/>
    </sheetView>
  </sheetViews>
  <sheetFormatPr defaultColWidth="11.42578125" defaultRowHeight="15"/>
  <cols>
    <col min="1" max="1" width="3.28515625" customWidth="1"/>
    <col min="2" max="9" width="17.140625" customWidth="1"/>
    <col min="10" max="10" width="15.5703125" customWidth="1"/>
    <col min="11" max="11" width="10.5703125" bestFit="1" customWidth="1"/>
  </cols>
  <sheetData>
    <row r="2" spans="1:12" ht="48.6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56"/>
    </row>
    <row r="3" spans="1:12" ht="22.15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39"/>
    </row>
    <row r="5" spans="1:12" s="51" customFormat="1" ht="29.45" customHeight="1">
      <c r="B5" s="171" t="s">
        <v>148</v>
      </c>
      <c r="C5" s="171"/>
      <c r="D5" s="171"/>
      <c r="E5" s="171"/>
      <c r="F5" s="171"/>
      <c r="G5" s="171"/>
      <c r="H5" s="171"/>
      <c r="I5" s="171"/>
    </row>
    <row r="6" spans="1:12" s="51" customFormat="1" ht="3.6" customHeight="1">
      <c r="B6" s="172"/>
      <c r="C6" s="172"/>
      <c r="D6" s="172"/>
      <c r="E6" s="172"/>
      <c r="F6" s="172"/>
      <c r="G6" s="172"/>
      <c r="H6" s="172"/>
      <c r="I6" s="172"/>
    </row>
    <row r="7" spans="1:12" s="51" customFormat="1" ht="29.45" customHeight="1">
      <c r="B7" s="49" t="s">
        <v>149</v>
      </c>
      <c r="C7" s="43" t="s">
        <v>150</v>
      </c>
      <c r="D7" s="43" t="s">
        <v>151</v>
      </c>
      <c r="E7" s="43" t="s">
        <v>152</v>
      </c>
      <c r="F7" s="49" t="s">
        <v>153</v>
      </c>
      <c r="G7" s="43" t="s">
        <v>154</v>
      </c>
      <c r="H7" s="42"/>
      <c r="I7" s="42"/>
      <c r="K7" s="42" t="s">
        <v>155</v>
      </c>
      <c r="L7" s="42" t="s">
        <v>156</v>
      </c>
    </row>
    <row r="8" spans="1:12" s="51" customFormat="1" ht="29.45" customHeight="1">
      <c r="A8" s="51">
        <v>1</v>
      </c>
      <c r="B8" s="44">
        <v>300</v>
      </c>
      <c r="C8" s="44">
        <v>299.5</v>
      </c>
      <c r="D8" s="44">
        <f t="shared" ref="D8:D17" si="0">C8-B8</f>
        <v>-0.5</v>
      </c>
      <c r="E8" s="60">
        <v>0.4</v>
      </c>
      <c r="F8" s="44">
        <f>IF(AND(B8&gt;15,B8&lt;=70),1,IF(AND(B8&gt;70,B8&lt;=300),B8*0.015,IF(AND(B8&gt;300,B8&lt;=1000),6,IF(AND(B8&gt;1000),B8*0.005,"Revisar"))))</f>
        <v>4.5</v>
      </c>
      <c r="G8" s="173"/>
      <c r="H8" s="58" t="s">
        <v>157</v>
      </c>
      <c r="I8" s="42">
        <v>751.1</v>
      </c>
      <c r="K8" s="42">
        <f t="shared" ref="K8:K17" si="1">F8</f>
        <v>4.5</v>
      </c>
      <c r="L8" s="42">
        <f t="shared" ref="L8:L17" si="2">-F8</f>
        <v>-4.5</v>
      </c>
    </row>
    <row r="9" spans="1:12" s="51" customFormat="1" ht="29.45" customHeight="1">
      <c r="A9" s="51">
        <v>2</v>
      </c>
      <c r="B9" s="44">
        <v>600</v>
      </c>
      <c r="C9" s="44">
        <v>601.4</v>
      </c>
      <c r="D9" s="44">
        <f t="shared" si="0"/>
        <v>1.3999999999999773</v>
      </c>
      <c r="E9" s="60">
        <v>0.39</v>
      </c>
      <c r="F9" s="44">
        <f t="shared" ref="F9:F17" si="3">IF(AND(B9&gt;15,B9&lt;=70),1,IF(AND(B9&gt;70,B9&lt;=300),B9*0.015,IF(AND(B9&gt;300,B9&lt;=1000),6,IF(AND(B9&gt;1000),B9*0.005,"Revisar"))))</f>
        <v>6</v>
      </c>
      <c r="G9" s="173"/>
      <c r="H9" s="58" t="s">
        <v>158</v>
      </c>
      <c r="I9" s="42">
        <v>49.4</v>
      </c>
      <c r="K9" s="42">
        <f t="shared" si="1"/>
        <v>6</v>
      </c>
      <c r="L9" s="42">
        <f t="shared" si="2"/>
        <v>-6</v>
      </c>
    </row>
    <row r="10" spans="1:12" s="51" customFormat="1" ht="29.45" customHeight="1">
      <c r="A10" s="51">
        <v>3</v>
      </c>
      <c r="B10" s="44">
        <v>900</v>
      </c>
      <c r="C10" s="44">
        <v>901.6</v>
      </c>
      <c r="D10" s="44">
        <f t="shared" si="0"/>
        <v>1.6000000000000227</v>
      </c>
      <c r="E10" s="60">
        <v>0.45</v>
      </c>
      <c r="F10" s="44">
        <f t="shared" si="3"/>
        <v>6</v>
      </c>
      <c r="G10" s="173"/>
      <c r="H10" s="58" t="s">
        <v>159</v>
      </c>
      <c r="I10" s="42" t="s">
        <v>160</v>
      </c>
      <c r="K10" s="42">
        <f t="shared" si="1"/>
        <v>6</v>
      </c>
      <c r="L10" s="42">
        <f t="shared" si="2"/>
        <v>-6</v>
      </c>
    </row>
    <row r="11" spans="1:12" s="51" customFormat="1" ht="29.45" customHeight="1">
      <c r="A11" s="51">
        <v>4</v>
      </c>
      <c r="B11" s="44">
        <v>1200</v>
      </c>
      <c r="C11" s="44">
        <v>1200.0999999999999</v>
      </c>
      <c r="D11" s="44">
        <f t="shared" si="0"/>
        <v>9.9999999999909051E-2</v>
      </c>
      <c r="E11" s="60">
        <v>0.86</v>
      </c>
      <c r="F11" s="44">
        <f t="shared" si="3"/>
        <v>6</v>
      </c>
      <c r="G11" s="173"/>
      <c r="H11" s="58" t="s">
        <v>146</v>
      </c>
      <c r="I11" s="50">
        <v>45635</v>
      </c>
      <c r="K11" s="42">
        <f t="shared" si="1"/>
        <v>6</v>
      </c>
      <c r="L11" s="42">
        <f t="shared" si="2"/>
        <v>-6</v>
      </c>
    </row>
    <row r="12" spans="1:12" s="51" customFormat="1" ht="21.6" customHeight="1">
      <c r="A12" s="51">
        <v>5</v>
      </c>
      <c r="B12" s="44">
        <v>1500</v>
      </c>
      <c r="C12" s="44">
        <v>1501.3</v>
      </c>
      <c r="D12" s="44">
        <f t="shared" si="0"/>
        <v>1.2999999999999545</v>
      </c>
      <c r="E12" s="60">
        <v>0.48</v>
      </c>
      <c r="F12" s="44">
        <f t="shared" si="3"/>
        <v>7.5</v>
      </c>
      <c r="G12" s="173"/>
      <c r="H12" s="175" t="s">
        <v>161</v>
      </c>
      <c r="I12" s="175"/>
      <c r="K12" s="42">
        <f t="shared" si="1"/>
        <v>7.5</v>
      </c>
      <c r="L12" s="42">
        <f t="shared" si="2"/>
        <v>-7.5</v>
      </c>
    </row>
    <row r="13" spans="1:12" s="51" customFormat="1" ht="21.6" customHeight="1">
      <c r="A13" s="51">
        <v>6</v>
      </c>
      <c r="B13" s="44">
        <v>1800</v>
      </c>
      <c r="C13" s="44">
        <v>1800.4</v>
      </c>
      <c r="D13" s="44">
        <f t="shared" si="0"/>
        <v>0.40000000000009095</v>
      </c>
      <c r="E13" s="60">
        <v>0.8</v>
      </c>
      <c r="F13" s="44">
        <f t="shared" si="3"/>
        <v>9</v>
      </c>
      <c r="G13" s="173"/>
      <c r="H13" s="175"/>
      <c r="I13" s="175"/>
      <c r="K13" s="42">
        <f t="shared" si="1"/>
        <v>9</v>
      </c>
      <c r="L13" s="42">
        <f t="shared" si="2"/>
        <v>-9</v>
      </c>
    </row>
    <row r="14" spans="1:12" s="51" customFormat="1" ht="21.6" customHeight="1">
      <c r="A14" s="51">
        <v>7</v>
      </c>
      <c r="B14" s="44">
        <v>2100</v>
      </c>
      <c r="C14" s="58">
        <v>2099.1</v>
      </c>
      <c r="D14" s="44">
        <f t="shared" si="0"/>
        <v>-0.90000000000009095</v>
      </c>
      <c r="E14" s="60">
        <v>0.5</v>
      </c>
      <c r="F14" s="44">
        <f t="shared" si="3"/>
        <v>10.5</v>
      </c>
      <c r="G14" s="173"/>
      <c r="H14" s="175"/>
      <c r="I14" s="175"/>
      <c r="K14" s="42">
        <f t="shared" si="1"/>
        <v>10.5</v>
      </c>
      <c r="L14" s="42">
        <f t="shared" si="2"/>
        <v>-10.5</v>
      </c>
    </row>
    <row r="15" spans="1:12" s="51" customFormat="1" ht="21.6" customHeight="1">
      <c r="A15" s="51">
        <v>8</v>
      </c>
      <c r="B15" s="44">
        <v>2400</v>
      </c>
      <c r="C15" s="44">
        <v>2401.6</v>
      </c>
      <c r="D15" s="44">
        <f t="shared" si="0"/>
        <v>1.5999999999999091</v>
      </c>
      <c r="E15" s="60">
        <v>0.42</v>
      </c>
      <c r="F15" s="44">
        <f t="shared" si="3"/>
        <v>12</v>
      </c>
      <c r="G15" s="173"/>
      <c r="H15" s="175"/>
      <c r="I15" s="175"/>
      <c r="K15" s="42">
        <f t="shared" si="1"/>
        <v>12</v>
      </c>
      <c r="L15" s="42">
        <f t="shared" si="2"/>
        <v>-12</v>
      </c>
    </row>
    <row r="16" spans="1:12" s="51" customFormat="1" ht="21.6" customHeight="1">
      <c r="A16" s="51">
        <v>9</v>
      </c>
      <c r="B16" s="44">
        <v>2700</v>
      </c>
      <c r="C16" s="44">
        <v>2701.8</v>
      </c>
      <c r="D16" s="44">
        <f t="shared" si="0"/>
        <v>1.8000000000001819</v>
      </c>
      <c r="E16" s="60">
        <v>0.49</v>
      </c>
      <c r="F16" s="44">
        <f t="shared" si="3"/>
        <v>13.5</v>
      </c>
      <c r="G16" s="173"/>
      <c r="H16" s="175"/>
      <c r="I16" s="175"/>
      <c r="K16" s="42">
        <f t="shared" si="1"/>
        <v>13.5</v>
      </c>
      <c r="L16" s="42">
        <f t="shared" si="2"/>
        <v>-13.5</v>
      </c>
    </row>
    <row r="17" spans="1:13" s="51" customFormat="1" ht="21.6" customHeight="1">
      <c r="A17" s="51">
        <v>10</v>
      </c>
      <c r="B17" s="44">
        <v>3000</v>
      </c>
      <c r="C17" s="44">
        <v>3001.8</v>
      </c>
      <c r="D17" s="44">
        <f t="shared" si="0"/>
        <v>1.8000000000001819</v>
      </c>
      <c r="E17" s="60">
        <v>0.35</v>
      </c>
      <c r="F17" s="44">
        <f t="shared" si="3"/>
        <v>15</v>
      </c>
      <c r="G17" s="174"/>
      <c r="H17" s="175"/>
      <c r="I17" s="175"/>
      <c r="K17" s="51">
        <f t="shared" si="1"/>
        <v>15</v>
      </c>
      <c r="L17" s="51">
        <f t="shared" si="2"/>
        <v>-15</v>
      </c>
    </row>
    <row r="20" spans="1:13">
      <c r="L20" s="57"/>
      <c r="M20" s="57"/>
    </row>
  </sheetData>
  <mergeCells count="4">
    <mergeCell ref="B5:I5"/>
    <mergeCell ref="B6:I6"/>
    <mergeCell ref="G8:G17"/>
    <mergeCell ref="H12:I17"/>
  </mergeCells>
  <conditionalFormatting sqref="O7">
    <cfRule type="expression" dxfId="37" priority="1">
      <formula>" "</formula>
    </cfRule>
    <cfRule type="containsText" dxfId="36" priority="2" operator="containsText" text="&quot;&quot;">
      <formula>NOT(ISERROR(SEARCH("""""",O7)))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42BA-4449-4820-8800-1CDE77F85F8C}">
  <dimension ref="A2:M42"/>
  <sheetViews>
    <sheetView topLeftCell="A23" zoomScale="77" workbookViewId="0">
      <selection activeCell="H33" sqref="H33"/>
    </sheetView>
  </sheetViews>
  <sheetFormatPr defaultColWidth="11.42578125" defaultRowHeight="15"/>
  <cols>
    <col min="1" max="1" width="3.28515625" customWidth="1"/>
    <col min="2" max="9" width="17.140625" customWidth="1"/>
    <col min="10" max="10" width="15.5703125" customWidth="1"/>
    <col min="11" max="11" width="10.5703125" bestFit="1" customWidth="1"/>
  </cols>
  <sheetData>
    <row r="2" spans="1:12" ht="48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162</v>
      </c>
      <c r="H2" s="49" t="s">
        <v>163</v>
      </c>
      <c r="I2" s="49" t="s">
        <v>164</v>
      </c>
      <c r="J2" s="56"/>
    </row>
    <row r="3" spans="1:12" ht="22.15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 ca="1">IF(TODAY()-$F$3&lt;=340,$F$4+90,"ERROR, CALIBRE EL PATRÓN")</f>
        <v>45865</v>
      </c>
      <c r="H3" s="183">
        <f ca="1">IF(TODAY()-$F$3&lt;=340,$F$4+180,"ERROR, CALIBRE EL PATRÓN")</f>
        <v>45955</v>
      </c>
      <c r="I3" s="183">
        <f ca="1">IF(TODAY()-$F$3&lt;=340,$F$4+270,"ERROR, CALIBRE EL PATRÓN")</f>
        <v>46045</v>
      </c>
      <c r="J3" s="39"/>
    </row>
    <row r="4" spans="1:12" ht="28.15" customHeight="1">
      <c r="B4" s="58" t="s">
        <v>165</v>
      </c>
      <c r="C4" s="42" t="s">
        <v>34</v>
      </c>
      <c r="D4" s="42" t="str">
        <f>IF(C4='CONTROL CALIBRACIONES'!C16,'CONTROL CALIBRACIONES'!E16,IF(C4='CONTROL CALIBRACIONES'!C16,'CONTROL CALIBRACIONES'!C16,'CONTROL CALIBRACIONES'!C17))</f>
        <v>XP2i</v>
      </c>
      <c r="E4" s="42">
        <v>322944</v>
      </c>
      <c r="F4" s="50">
        <f>'CONTROL CALIBRACIONES'!G18</f>
        <v>45775</v>
      </c>
      <c r="G4" s="183"/>
      <c r="H4" s="183"/>
      <c r="I4" s="183"/>
      <c r="J4" s="39"/>
    </row>
    <row r="6" spans="1:12" s="51" customFormat="1" ht="31.9" customHeight="1">
      <c r="B6" s="184" t="s">
        <v>148</v>
      </c>
      <c r="C6" s="184"/>
      <c r="D6" s="184"/>
      <c r="E6" s="184"/>
      <c r="F6" s="184"/>
      <c r="G6" s="184"/>
      <c r="H6" s="184"/>
      <c r="I6" s="184"/>
    </row>
    <row r="7" spans="1:12" s="51" customFormat="1" ht="3.6" customHeight="1">
      <c r="B7" s="172"/>
      <c r="C7" s="172"/>
      <c r="D7" s="172"/>
      <c r="E7" s="172"/>
      <c r="F7" s="172"/>
      <c r="G7" s="172"/>
      <c r="H7" s="172"/>
      <c r="I7" s="172"/>
    </row>
    <row r="8" spans="1:12" s="51" customFormat="1" ht="28.9" customHeight="1">
      <c r="B8" s="49" t="s">
        <v>149</v>
      </c>
      <c r="C8" s="43" t="s">
        <v>150</v>
      </c>
      <c r="D8" s="43" t="s">
        <v>151</v>
      </c>
      <c r="E8" s="43" t="s">
        <v>152</v>
      </c>
      <c r="F8" s="49" t="s">
        <v>153</v>
      </c>
      <c r="G8" s="43" t="s">
        <v>154</v>
      </c>
      <c r="H8" s="58" t="s">
        <v>166</v>
      </c>
      <c r="I8" s="42">
        <v>20.5</v>
      </c>
      <c r="K8" s="42" t="s">
        <v>155</v>
      </c>
      <c r="L8" s="42" t="s">
        <v>156</v>
      </c>
    </row>
    <row r="9" spans="1:12" s="51" customFormat="1" ht="28.9" customHeight="1">
      <c r="A9" s="51">
        <v>2</v>
      </c>
      <c r="B9" s="44">
        <v>15</v>
      </c>
      <c r="C9" s="44">
        <v>15.061</v>
      </c>
      <c r="D9" s="44">
        <f t="shared" ref="D9:D18" si="0">C9-B9</f>
        <v>6.0999999999999943E-2</v>
      </c>
      <c r="E9" s="60">
        <v>8.6999999999999994E-2</v>
      </c>
      <c r="F9" s="44">
        <f>IF(AND(B9&gt;=15,B9&lt;=70),1,IF(AND(B9&gt;70,B9&lt;=300),B9*0.015,IF(AND(B9&gt;300,B9&lt;=1000),6,IF(AND(B9&gt;1000),B9*0.005,"Revisar"))))</f>
        <v>1</v>
      </c>
      <c r="G9" s="182" t="str">
        <f>IF(AND(,D9&gt;F9,D10&gt;F10,D11&gt;F11,D12&gt;F12,D13&gt;F13,D14&gt;F14,D15&gt;F15,D16&gt;F16,D17&gt;F17,D18&gt;F18),"EQUIPO NO CUMPLE ESPECIFICACIÓN","EQUIPO CUMPLE ESPECIFICACIÓN")</f>
        <v>EQUIPO CUMPLE ESPECIFICACIÓN</v>
      </c>
      <c r="H9" s="58" t="s">
        <v>157</v>
      </c>
      <c r="I9" s="42">
        <v>748.1</v>
      </c>
      <c r="K9" s="42">
        <f t="shared" ref="K9:K18" si="1">F9</f>
        <v>1</v>
      </c>
      <c r="L9" s="42">
        <f t="shared" ref="L9:L18" si="2">-F9</f>
        <v>-1</v>
      </c>
    </row>
    <row r="10" spans="1:12" s="51" customFormat="1" ht="28.9" customHeight="1">
      <c r="A10" s="51">
        <v>3</v>
      </c>
      <c r="B10" s="44">
        <v>50</v>
      </c>
      <c r="C10" s="44">
        <v>50.085999999999999</v>
      </c>
      <c r="D10" s="44">
        <f t="shared" si="0"/>
        <v>8.5999999999998522E-2</v>
      </c>
      <c r="E10" s="60">
        <v>5.8000000000000003E-2</v>
      </c>
      <c r="F10" s="44">
        <f>IF(AND(B10&gt;=15,B10&lt;=70),1,IF(AND(B10&gt;70,B10&lt;=300),B10*0.015,IF(AND(B10&gt;300,B10&lt;=1000),6,IF(AND(B10&gt;1000),B10*0.005,"Revisar"))))</f>
        <v>1</v>
      </c>
      <c r="G10" s="182"/>
      <c r="H10" s="58" t="s">
        <v>158</v>
      </c>
      <c r="I10" s="42">
        <v>48.3</v>
      </c>
      <c r="K10" s="42">
        <f t="shared" si="1"/>
        <v>1</v>
      </c>
      <c r="L10" s="42">
        <f t="shared" si="2"/>
        <v>-1</v>
      </c>
    </row>
    <row r="11" spans="1:12" s="51" customFormat="1" ht="28.9" customHeight="1">
      <c r="A11" s="51">
        <v>4</v>
      </c>
      <c r="B11" s="44">
        <v>125</v>
      </c>
      <c r="C11" s="44">
        <v>125.086</v>
      </c>
      <c r="D11" s="44">
        <f t="shared" si="0"/>
        <v>8.5999999999998522E-2</v>
      </c>
      <c r="E11" s="60">
        <v>5.8000000000000003E-2</v>
      </c>
      <c r="F11" s="44">
        <f>IF(AND(B11&gt;15,B11&lt;=70),1,IF(AND(B11&gt;70,B11&lt;=300),B11*0.015,IF(AND(B11&gt;300,B11&lt;=1000),6,IF(AND(B11&gt;1000),B11*0.005,"Revisar"))))</f>
        <v>1.875</v>
      </c>
      <c r="G11" s="182"/>
      <c r="H11" s="58" t="s">
        <v>159</v>
      </c>
      <c r="I11" s="42" t="s">
        <v>167</v>
      </c>
      <c r="K11" s="42">
        <f t="shared" si="1"/>
        <v>1.875</v>
      </c>
      <c r="L11" s="42">
        <f t="shared" si="2"/>
        <v>-1.875</v>
      </c>
    </row>
    <row r="12" spans="1:12" s="51" customFormat="1" ht="28.9" customHeight="1">
      <c r="A12" s="51">
        <v>5</v>
      </c>
      <c r="B12" s="44">
        <v>250</v>
      </c>
      <c r="C12" s="44">
        <v>250.08600000000001</v>
      </c>
      <c r="D12" s="44">
        <f t="shared" si="0"/>
        <v>8.6000000000012733E-2</v>
      </c>
      <c r="E12" s="60">
        <v>5.8999999999999997E-2</v>
      </c>
      <c r="F12" s="44">
        <f>IF(AND(B12&gt;15,B12&lt;=70),1,IF(AND(B12&gt;70,B12&lt;=300),B12*0.015,IF(AND(B12&gt;300,B12&lt;=1000),6,IF(AND(B12&gt;1000),B12*0.005,"Revisar"))))</f>
        <v>3.75</v>
      </c>
      <c r="G12" s="182"/>
      <c r="H12" s="58" t="s">
        <v>146</v>
      </c>
      <c r="I12" s="50">
        <v>45775</v>
      </c>
      <c r="K12" s="42">
        <f t="shared" si="1"/>
        <v>3.75</v>
      </c>
      <c r="L12" s="42">
        <f t="shared" si="2"/>
        <v>-3.75</v>
      </c>
    </row>
    <row r="13" spans="1:12" s="51" customFormat="1" ht="21.6" customHeight="1">
      <c r="A13" s="51">
        <v>6</v>
      </c>
      <c r="B13" s="44">
        <v>375</v>
      </c>
      <c r="C13" s="44">
        <v>375.06099999999998</v>
      </c>
      <c r="D13" s="44">
        <f t="shared" si="0"/>
        <v>6.0999999999978627E-2</v>
      </c>
      <c r="E13" s="60">
        <v>8.8999999999999996E-2</v>
      </c>
      <c r="F13" s="44">
        <f>IF(AND(B13&gt;15,B13&lt;=70),1,IF(AND(B13&gt;70,B13&lt;=300),B13*0.015,IF(AND(B13&gt;300,B13&lt;=1000),6,IF(AND(B13&gt;1000),B13*0.005,"Revisar"))))</f>
        <v>6</v>
      </c>
      <c r="G13" s="182"/>
      <c r="H13" s="175" t="s">
        <v>161</v>
      </c>
      <c r="I13" s="175"/>
      <c r="K13" s="42">
        <f t="shared" si="1"/>
        <v>6</v>
      </c>
      <c r="L13" s="42">
        <f t="shared" si="2"/>
        <v>-6</v>
      </c>
    </row>
    <row r="14" spans="1:12" s="51" customFormat="1" ht="21.6" customHeight="1">
      <c r="A14" s="51">
        <v>7</v>
      </c>
      <c r="B14" s="44">
        <v>500</v>
      </c>
      <c r="C14" s="58">
        <v>500.11099999999999</v>
      </c>
      <c r="D14" s="44">
        <f t="shared" si="0"/>
        <v>0.11099999999999</v>
      </c>
      <c r="E14" s="60">
        <v>0.09</v>
      </c>
      <c r="F14" s="44">
        <f t="shared" ref="F14:F18" si="3">IF(AND(B14&gt;15,B14&lt;=70),1,IF(AND(B14&gt;70,B14&lt;=300),B14*0.015,IF(AND(B14&gt;300,B14&lt;=1000),6,IF(AND(B14&gt;1000),B14*0.005,"Revisar"))))</f>
        <v>6</v>
      </c>
      <c r="G14" s="182"/>
      <c r="H14" s="175"/>
      <c r="I14" s="175"/>
      <c r="K14" s="42">
        <f t="shared" si="1"/>
        <v>6</v>
      </c>
      <c r="L14" s="42">
        <f t="shared" si="2"/>
        <v>-6</v>
      </c>
    </row>
    <row r="15" spans="1:12" s="51" customFormat="1" ht="21.6" customHeight="1">
      <c r="A15" s="51">
        <v>8</v>
      </c>
      <c r="B15" s="44">
        <v>625</v>
      </c>
      <c r="C15" s="44">
        <v>625.16099999999994</v>
      </c>
      <c r="D15" s="44">
        <f t="shared" si="0"/>
        <v>0.16099999999994452</v>
      </c>
      <c r="E15" s="60">
        <v>9.1999999999999998E-2</v>
      </c>
      <c r="F15" s="44">
        <f t="shared" si="3"/>
        <v>6</v>
      </c>
      <c r="G15" s="182"/>
      <c r="H15" s="175"/>
      <c r="I15" s="175"/>
      <c r="K15" s="42">
        <f t="shared" si="1"/>
        <v>6</v>
      </c>
      <c r="L15" s="42">
        <f t="shared" si="2"/>
        <v>-6</v>
      </c>
    </row>
    <row r="16" spans="1:12" s="51" customFormat="1" ht="21.6" customHeight="1">
      <c r="A16" s="51">
        <v>9</v>
      </c>
      <c r="B16" s="44">
        <v>750</v>
      </c>
      <c r="C16" s="44">
        <v>750.18600000000004</v>
      </c>
      <c r="D16" s="44">
        <f t="shared" si="0"/>
        <v>0.18600000000003547</v>
      </c>
      <c r="E16" s="60">
        <v>6.9000000000000006E-2</v>
      </c>
      <c r="F16" s="44">
        <f t="shared" si="3"/>
        <v>6</v>
      </c>
      <c r="G16" s="182"/>
      <c r="H16" s="175"/>
      <c r="I16" s="175"/>
      <c r="K16" s="42">
        <f t="shared" si="1"/>
        <v>6</v>
      </c>
      <c r="L16" s="42">
        <f t="shared" si="2"/>
        <v>-6</v>
      </c>
    </row>
    <row r="17" spans="1:12" s="51" customFormat="1" ht="21.6" customHeight="1">
      <c r="A17" s="51">
        <v>10</v>
      </c>
      <c r="B17" s="44">
        <v>875</v>
      </c>
      <c r="C17" s="44">
        <v>875.18600000000004</v>
      </c>
      <c r="D17" s="44">
        <f t="shared" si="0"/>
        <v>0.18600000000003547</v>
      </c>
      <c r="E17" s="60">
        <v>7.1999999999999995E-2</v>
      </c>
      <c r="F17" s="44">
        <f t="shared" si="3"/>
        <v>6</v>
      </c>
      <c r="G17" s="182"/>
      <c r="H17" s="175"/>
      <c r="I17" s="175"/>
      <c r="K17" s="42">
        <f t="shared" si="1"/>
        <v>6</v>
      </c>
      <c r="L17" s="42">
        <f t="shared" si="2"/>
        <v>-6</v>
      </c>
    </row>
    <row r="18" spans="1:12" s="51" customFormat="1" ht="21.6" customHeight="1">
      <c r="A18" s="51">
        <v>11</v>
      </c>
      <c r="B18" s="44">
        <v>1000</v>
      </c>
      <c r="C18" s="44">
        <v>1000.186</v>
      </c>
      <c r="D18" s="44">
        <f t="shared" si="0"/>
        <v>0.18600000000003547</v>
      </c>
      <c r="E18" s="60">
        <v>0.08</v>
      </c>
      <c r="F18" s="44">
        <f t="shared" si="3"/>
        <v>6</v>
      </c>
      <c r="G18" s="182"/>
      <c r="H18" s="175"/>
      <c r="I18" s="175"/>
      <c r="K18" s="51">
        <f t="shared" si="1"/>
        <v>6</v>
      </c>
      <c r="L18" s="51">
        <f t="shared" si="2"/>
        <v>-6</v>
      </c>
    </row>
    <row r="20" spans="1:12">
      <c r="B20" s="176" t="s">
        <v>168</v>
      </c>
      <c r="C20" s="177"/>
      <c r="D20" s="177"/>
      <c r="E20" s="177"/>
      <c r="F20" s="177"/>
      <c r="G20" s="177"/>
      <c r="H20" s="178"/>
      <c r="I20" s="71"/>
    </row>
    <row r="21" spans="1:12">
      <c r="B21" s="100" t="s">
        <v>169</v>
      </c>
      <c r="C21" s="95">
        <v>45861</v>
      </c>
      <c r="D21" s="95">
        <v>45951</v>
      </c>
      <c r="E21" s="78"/>
      <c r="F21" s="80"/>
      <c r="G21" s="81"/>
      <c r="H21" s="82"/>
      <c r="I21" s="51"/>
    </row>
    <row r="22" spans="1:12">
      <c r="B22" s="101" t="s">
        <v>170</v>
      </c>
      <c r="C22" s="72" t="s">
        <v>171</v>
      </c>
      <c r="D22" s="72" t="s">
        <v>172</v>
      </c>
      <c r="E22" s="72"/>
      <c r="F22" s="80"/>
      <c r="G22" s="83"/>
      <c r="H22" s="84"/>
      <c r="I22" s="51"/>
    </row>
    <row r="23" spans="1:12" ht="46.15" customHeight="1">
      <c r="B23" s="49" t="s">
        <v>149</v>
      </c>
      <c r="C23" s="49" t="s">
        <v>173</v>
      </c>
      <c r="D23" s="49" t="s">
        <v>174</v>
      </c>
      <c r="E23" s="85" t="s">
        <v>175</v>
      </c>
      <c r="F23" s="179"/>
      <c r="G23" s="86" t="s">
        <v>176</v>
      </c>
      <c r="H23" s="49" t="s">
        <v>177</v>
      </c>
      <c r="J23" s="76" t="s">
        <v>155</v>
      </c>
      <c r="K23" s="42" t="s">
        <v>156</v>
      </c>
    </row>
    <row r="24" spans="1:12" ht="15.6" customHeight="1">
      <c r="B24" s="74">
        <v>0</v>
      </c>
      <c r="C24" s="74">
        <v>0</v>
      </c>
      <c r="D24" s="74">
        <v>0</v>
      </c>
      <c r="E24" s="87"/>
      <c r="F24" s="179"/>
      <c r="G24" s="181" t="str">
        <f>IF(AND(ABS(G33)&lt;$B$32,ABS(G34)&lt;$B$33,ABS(G35)&lt;$B$34,ABS(G36)&lt;$B$35,ABS(G37)&lt;$B$36,ABS(G38)&lt;$B$37,ABS(G39)&lt;$B$38,ABS(G40)&lt;$B$39),"EQUIPO SE ENCUENTRA COMPROBADO","EQUIPO TIENE ALGUNA AFECTACIÓN, ENVIAR A REVISIÓN")</f>
        <v>EQUIPO SE ENCUENTRA COMPROBADO</v>
      </c>
      <c r="H24" s="182" t="e">
        <f>IF(AND(ABS(H33)&lt;$B$32,ABS(H34)&lt;$B$33,ABS(H35)&lt;$B$34,ABS(H36)&lt;$B$35,ABS(H37)&lt;$B$36,ABS(H38)&lt;$B$37,ABS(H39)&lt;$B$38,ABS(H40)&lt;$B$39),"EQUIPO SE ENCUENTRA COMPROBADO","EQUIPO TIENE ALGUNA AFECTACIÓN, ENVIAR A REVISIÓN")</f>
        <v>#VALUE!</v>
      </c>
      <c r="J24" s="88">
        <f t="shared" ref="J24:J31" si="4">B33</f>
        <v>1</v>
      </c>
      <c r="K24" s="88">
        <f t="shared" ref="K24:K31" si="5">-B33</f>
        <v>-1</v>
      </c>
    </row>
    <row r="25" spans="1:12" ht="15.6" customHeight="1">
      <c r="B25" s="74">
        <v>142</v>
      </c>
      <c r="C25" s="74">
        <v>142</v>
      </c>
      <c r="D25" s="74">
        <v>141.9</v>
      </c>
      <c r="E25" s="87"/>
      <c r="F25" s="179"/>
      <c r="G25" s="181"/>
      <c r="H25" s="182"/>
      <c r="J25" s="88">
        <f t="shared" si="4"/>
        <v>2.13</v>
      </c>
      <c r="K25" s="88">
        <f t="shared" si="5"/>
        <v>-2.13</v>
      </c>
    </row>
    <row r="26" spans="1:12" ht="15.6" customHeight="1">
      <c r="B26" s="74">
        <v>284</v>
      </c>
      <c r="C26" s="74">
        <v>283.89999999999998</v>
      </c>
      <c r="D26" s="74">
        <v>283.89999999999998</v>
      </c>
      <c r="E26" s="87"/>
      <c r="F26" s="179"/>
      <c r="G26" s="181"/>
      <c r="H26" s="182"/>
      <c r="J26" s="88">
        <f t="shared" si="4"/>
        <v>4.26</v>
      </c>
      <c r="K26" s="88">
        <f t="shared" si="5"/>
        <v>-4.26</v>
      </c>
    </row>
    <row r="27" spans="1:12" ht="15.6" customHeight="1">
      <c r="B27" s="74">
        <v>426</v>
      </c>
      <c r="C27" s="74">
        <v>425.9</v>
      </c>
      <c r="D27" s="74">
        <v>425.9</v>
      </c>
      <c r="E27" s="87"/>
      <c r="F27" s="179"/>
      <c r="G27" s="181"/>
      <c r="H27" s="182"/>
      <c r="J27" s="88">
        <f t="shared" si="4"/>
        <v>6</v>
      </c>
      <c r="K27" s="88">
        <f t="shared" si="5"/>
        <v>-6</v>
      </c>
    </row>
    <row r="28" spans="1:12" ht="15.6" customHeight="1">
      <c r="B28" s="74">
        <v>568</v>
      </c>
      <c r="C28" s="89">
        <v>568</v>
      </c>
      <c r="D28" s="89">
        <v>568</v>
      </c>
      <c r="E28" s="90"/>
      <c r="F28" s="179"/>
      <c r="G28" s="181"/>
      <c r="H28" s="182"/>
      <c r="J28" s="88">
        <f t="shared" si="4"/>
        <v>6</v>
      </c>
      <c r="K28" s="88">
        <f t="shared" si="5"/>
        <v>-6</v>
      </c>
    </row>
    <row r="29" spans="1:12" ht="15.6" customHeight="1">
      <c r="B29" s="74">
        <v>710</v>
      </c>
      <c r="C29" s="74">
        <v>709.9</v>
      </c>
      <c r="D29" s="74">
        <v>710</v>
      </c>
      <c r="E29" s="87"/>
      <c r="F29" s="179"/>
      <c r="G29" s="181"/>
      <c r="H29" s="182"/>
      <c r="J29" s="88">
        <f t="shared" si="4"/>
        <v>6</v>
      </c>
      <c r="K29" s="88">
        <f t="shared" si="5"/>
        <v>-6</v>
      </c>
    </row>
    <row r="30" spans="1:12" ht="15.6" customHeight="1">
      <c r="B30" s="74">
        <v>852</v>
      </c>
      <c r="C30" s="74">
        <v>852.1</v>
      </c>
      <c r="D30" s="74">
        <v>852</v>
      </c>
      <c r="E30" s="87"/>
      <c r="F30" s="179"/>
      <c r="G30" s="181"/>
      <c r="H30" s="182"/>
      <c r="J30" s="88">
        <f t="shared" si="4"/>
        <v>6</v>
      </c>
      <c r="K30" s="88">
        <f t="shared" si="5"/>
        <v>-6</v>
      </c>
    </row>
    <row r="31" spans="1:12" ht="15.6" customHeight="1">
      <c r="B31" s="74">
        <v>1000</v>
      </c>
      <c r="C31" s="74">
        <v>1000.1</v>
      </c>
      <c r="D31" s="74">
        <v>1000</v>
      </c>
      <c r="E31" s="87"/>
      <c r="F31" s="179"/>
      <c r="G31" s="181"/>
      <c r="H31" s="182"/>
      <c r="J31" s="88">
        <f t="shared" si="4"/>
        <v>6</v>
      </c>
      <c r="K31" s="88">
        <f t="shared" si="5"/>
        <v>-6</v>
      </c>
    </row>
    <row r="32" spans="1:12" ht="45.75">
      <c r="B32" s="91" t="s">
        <v>178</v>
      </c>
      <c r="C32" s="49" t="s">
        <v>179</v>
      </c>
      <c r="D32" s="49" t="s">
        <v>180</v>
      </c>
      <c r="E32" s="85" t="s">
        <v>181</v>
      </c>
      <c r="F32" s="179"/>
      <c r="G32" s="86" t="s">
        <v>182</v>
      </c>
      <c r="H32" s="49" t="s">
        <v>183</v>
      </c>
    </row>
    <row r="33" spans="2:13" ht="15.6" customHeight="1">
      <c r="B33" s="74">
        <f>IF(AND(B24&gt;=15,B24&lt;=70),1,IF(AND(B24&gt;70,B24&lt;=300),B24*0.015,IF(AND(B24&gt;300,B24&lt;=1000),6,IF(AND(B24&gt;1000),B24*0.005,1))))</f>
        <v>1</v>
      </c>
      <c r="C33" s="74">
        <f>IF(C24="","",C24-B24)</f>
        <v>0</v>
      </c>
      <c r="D33" s="74">
        <f>IF(D24="","",D24-B24)</f>
        <v>0</v>
      </c>
      <c r="E33" s="74" t="str">
        <f>IF(E24="","",E24-B24)</f>
        <v/>
      </c>
      <c r="F33" s="179"/>
      <c r="G33" s="92">
        <f>C33-D33</f>
        <v>0</v>
      </c>
      <c r="H33" s="88" t="e">
        <f t="shared" ref="H33:H40" si="6">C33-E33</f>
        <v>#VALUE!</v>
      </c>
    </row>
    <row r="34" spans="2:13" ht="15.6" customHeight="1">
      <c r="B34" s="74">
        <f t="shared" ref="B34:B40" si="7">IF(AND(B25&gt;=15,B25&lt;=70),1,IF(AND(B25&gt;70,B25&lt;=300),B25*0.015,IF(AND(B25&gt;300,B25&lt;=1000),6,IF(AND(B25&gt;1000),B25*0.005,1))))</f>
        <v>2.13</v>
      </c>
      <c r="C34" s="74">
        <f t="shared" ref="C34:C40" si="8">IF(C25="","",C25-B25)</f>
        <v>0</v>
      </c>
      <c r="D34" s="74">
        <f t="shared" ref="D34:D40" si="9">IF(D25="","",D25-B25)</f>
        <v>-9.9999999999994316E-2</v>
      </c>
      <c r="E34" s="74" t="str">
        <f t="shared" ref="E34:E40" si="10">IF(E25="","",E25-B25)</f>
        <v/>
      </c>
      <c r="F34" s="179"/>
      <c r="G34" s="92">
        <f>C34-D34</f>
        <v>9.9999999999994316E-2</v>
      </c>
      <c r="H34" s="88" t="e">
        <f t="shared" si="6"/>
        <v>#VALUE!</v>
      </c>
    </row>
    <row r="35" spans="2:13" ht="15.6" customHeight="1">
      <c r="B35" s="74">
        <f t="shared" si="7"/>
        <v>4.26</v>
      </c>
      <c r="C35" s="74">
        <f t="shared" si="8"/>
        <v>-0.10000000000002274</v>
      </c>
      <c r="D35" s="74">
        <f t="shared" si="9"/>
        <v>-0.10000000000002274</v>
      </c>
      <c r="E35" s="74" t="str">
        <f t="shared" si="10"/>
        <v/>
      </c>
      <c r="F35" s="179"/>
      <c r="G35" s="92">
        <f t="shared" ref="G35:G40" si="11">C35-D35</f>
        <v>0</v>
      </c>
      <c r="H35" s="88" t="e">
        <f t="shared" si="6"/>
        <v>#VALUE!</v>
      </c>
    </row>
    <row r="36" spans="2:13" ht="15.6" customHeight="1">
      <c r="B36" s="74">
        <f t="shared" si="7"/>
        <v>6</v>
      </c>
      <c r="C36" s="74">
        <f t="shared" si="8"/>
        <v>-0.10000000000002274</v>
      </c>
      <c r="D36" s="74">
        <f t="shared" si="9"/>
        <v>-0.10000000000002274</v>
      </c>
      <c r="E36" s="74" t="str">
        <f t="shared" si="10"/>
        <v/>
      </c>
      <c r="F36" s="179"/>
      <c r="G36" s="92">
        <f t="shared" si="11"/>
        <v>0</v>
      </c>
      <c r="H36" s="88" t="e">
        <f t="shared" si="6"/>
        <v>#VALUE!</v>
      </c>
    </row>
    <row r="37" spans="2:13" ht="15.6" customHeight="1">
      <c r="B37" s="74">
        <f t="shared" si="7"/>
        <v>6</v>
      </c>
      <c r="C37" s="74">
        <f t="shared" si="8"/>
        <v>0</v>
      </c>
      <c r="D37" s="74">
        <f t="shared" si="9"/>
        <v>0</v>
      </c>
      <c r="E37" s="74" t="str">
        <f t="shared" si="10"/>
        <v/>
      </c>
      <c r="F37" s="179"/>
      <c r="G37" s="92">
        <f t="shared" si="11"/>
        <v>0</v>
      </c>
      <c r="H37" s="88" t="e">
        <f t="shared" si="6"/>
        <v>#VALUE!</v>
      </c>
    </row>
    <row r="38" spans="2:13" ht="15.6" customHeight="1">
      <c r="B38" s="74">
        <f t="shared" si="7"/>
        <v>6</v>
      </c>
      <c r="C38" s="74">
        <f t="shared" si="8"/>
        <v>-0.10000000000002274</v>
      </c>
      <c r="D38" s="74">
        <f t="shared" si="9"/>
        <v>0</v>
      </c>
      <c r="E38" s="74" t="str">
        <f t="shared" si="10"/>
        <v/>
      </c>
      <c r="F38" s="179"/>
      <c r="G38" s="92">
        <f t="shared" si="11"/>
        <v>-0.10000000000002274</v>
      </c>
      <c r="H38" s="88" t="e">
        <f t="shared" si="6"/>
        <v>#VALUE!</v>
      </c>
    </row>
    <row r="39" spans="2:13" ht="15.6" customHeight="1">
      <c r="B39" s="74">
        <f t="shared" si="7"/>
        <v>6</v>
      </c>
      <c r="C39" s="74">
        <f t="shared" si="8"/>
        <v>0.10000000000002274</v>
      </c>
      <c r="D39" s="74">
        <f t="shared" si="9"/>
        <v>0</v>
      </c>
      <c r="E39" s="74" t="str">
        <f t="shared" si="10"/>
        <v/>
      </c>
      <c r="F39" s="179"/>
      <c r="G39" s="92">
        <f t="shared" si="11"/>
        <v>0.10000000000002274</v>
      </c>
      <c r="H39" s="88" t="e">
        <f t="shared" si="6"/>
        <v>#VALUE!</v>
      </c>
    </row>
    <row r="40" spans="2:13" ht="15.6" customHeight="1">
      <c r="B40" s="74">
        <f t="shared" si="7"/>
        <v>6</v>
      </c>
      <c r="C40" s="74">
        <f t="shared" si="8"/>
        <v>0.10000000000002274</v>
      </c>
      <c r="D40" s="74">
        <f t="shared" si="9"/>
        <v>0</v>
      </c>
      <c r="E40" s="74" t="str">
        <f t="shared" si="10"/>
        <v/>
      </c>
      <c r="F40" s="180"/>
      <c r="G40" s="92">
        <f t="shared" si="11"/>
        <v>0.10000000000002274</v>
      </c>
      <c r="H40" s="88" t="e">
        <f t="shared" si="6"/>
        <v>#VALUE!</v>
      </c>
    </row>
    <row r="42" spans="2:13">
      <c r="L42" s="57"/>
      <c r="M42" s="57"/>
    </row>
  </sheetData>
  <mergeCells count="11">
    <mergeCell ref="I3:I4"/>
    <mergeCell ref="B6:I6"/>
    <mergeCell ref="B7:I7"/>
    <mergeCell ref="G9:G18"/>
    <mergeCell ref="H13:I18"/>
    <mergeCell ref="B20:H20"/>
    <mergeCell ref="F23:F40"/>
    <mergeCell ref="G24:G31"/>
    <mergeCell ref="H24:H31"/>
    <mergeCell ref="G3:G4"/>
    <mergeCell ref="H3:H4"/>
  </mergeCells>
  <phoneticPr fontId="2" type="noConversion"/>
  <conditionalFormatting sqref="O8">
    <cfRule type="expression" dxfId="35" priority="1">
      <formula>" "</formula>
    </cfRule>
    <cfRule type="containsText" dxfId="34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E684-DA86-4E06-9159-CD5395D146C9}">
  <dimension ref="A2:M42"/>
  <sheetViews>
    <sheetView topLeftCell="A18" zoomScale="77" workbookViewId="0">
      <selection activeCell="E24" sqref="E24"/>
    </sheetView>
  </sheetViews>
  <sheetFormatPr defaultColWidth="11.42578125" defaultRowHeight="15"/>
  <cols>
    <col min="1" max="1" width="3.28515625" customWidth="1"/>
    <col min="2" max="3" width="17.140625" customWidth="1"/>
    <col min="4" max="4" width="18.28515625" customWidth="1"/>
    <col min="5" max="9" width="17.140625" customWidth="1"/>
    <col min="10" max="10" width="15.5703125" customWidth="1"/>
    <col min="11" max="11" width="10.5703125" bestFit="1" customWidth="1"/>
  </cols>
  <sheetData>
    <row r="2" spans="1:12" ht="48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162</v>
      </c>
      <c r="H2" s="49" t="s">
        <v>163</v>
      </c>
      <c r="I2" s="49" t="s">
        <v>164</v>
      </c>
      <c r="J2" s="56"/>
    </row>
    <row r="3" spans="1:12" ht="22.15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 ca="1">IF(TODAY()-$F$3&lt;=340,$F$4+90,"ERROR, CALIBRE EL PATRÓN")</f>
        <v>45865</v>
      </c>
      <c r="H3" s="183">
        <f ca="1">IF(TODAY()-$F$3&lt;=340,$F$4+180,"ERROR, CALIBRE EL PATRÓN")</f>
        <v>45955</v>
      </c>
      <c r="I3" s="183">
        <f ca="1">IF(TODAY()-$F$3&lt;=340,$F$4+270,"ERROR, CALIBRE EL PATRÓN")</f>
        <v>46045</v>
      </c>
      <c r="J3" s="39"/>
    </row>
    <row r="4" spans="1:12" ht="28.15" customHeight="1">
      <c r="B4" s="58" t="s">
        <v>165</v>
      </c>
      <c r="C4" s="42" t="s">
        <v>34</v>
      </c>
      <c r="D4" s="42" t="str">
        <f>IF(C4='CONTROL CALIBRACIONES'!C16,'CONTROL CALIBRACIONES'!E16,IF(C4='CONTROL CALIBRACIONES'!C16,'CONTROL CALIBRACIONES'!C16,'CONTROL CALIBRACIONES'!C17))</f>
        <v>XP2i</v>
      </c>
      <c r="E4" s="42">
        <v>322944</v>
      </c>
      <c r="F4" s="50">
        <f>'CONTROL CALIBRACIONES'!G18</f>
        <v>45775</v>
      </c>
      <c r="G4" s="183"/>
      <c r="H4" s="183"/>
      <c r="I4" s="183"/>
      <c r="J4" s="39"/>
    </row>
    <row r="6" spans="1:12" s="51" customFormat="1" ht="29.45" customHeight="1">
      <c r="B6" s="171" t="s">
        <v>148</v>
      </c>
      <c r="C6" s="171"/>
      <c r="D6" s="171"/>
      <c r="E6" s="171"/>
      <c r="F6" s="171"/>
      <c r="G6" s="171"/>
      <c r="H6" s="171"/>
      <c r="I6" s="171"/>
    </row>
    <row r="7" spans="1:12" s="51" customFormat="1" ht="3.6" customHeight="1">
      <c r="B7" s="172"/>
      <c r="C7" s="172"/>
      <c r="D7" s="172"/>
      <c r="E7" s="172"/>
      <c r="F7" s="172"/>
      <c r="G7" s="172"/>
      <c r="H7" s="172"/>
      <c r="I7" s="172"/>
    </row>
    <row r="8" spans="1:12" s="51" customFormat="1" ht="29.45" customHeight="1">
      <c r="B8" s="49" t="s">
        <v>149</v>
      </c>
      <c r="C8" s="43" t="s">
        <v>150</v>
      </c>
      <c r="D8" s="43" t="s">
        <v>151</v>
      </c>
      <c r="E8" s="43" t="s">
        <v>152</v>
      </c>
      <c r="F8" s="49" t="s">
        <v>153</v>
      </c>
      <c r="G8" s="43" t="s">
        <v>154</v>
      </c>
      <c r="H8" s="58" t="s">
        <v>166</v>
      </c>
      <c r="I8" s="42">
        <v>21.4</v>
      </c>
      <c r="K8" s="42" t="s">
        <v>155</v>
      </c>
      <c r="L8" s="42" t="s">
        <v>156</v>
      </c>
    </row>
    <row r="9" spans="1:12" s="51" customFormat="1" ht="29.45" customHeight="1">
      <c r="A9" s="51">
        <v>1</v>
      </c>
      <c r="B9" s="44">
        <v>499.64</v>
      </c>
      <c r="C9" s="44">
        <v>500</v>
      </c>
      <c r="D9" s="44">
        <f t="shared" ref="D9:D18" si="0">C9-B9</f>
        <v>0.36000000000001364</v>
      </c>
      <c r="E9" s="60">
        <v>0.34</v>
      </c>
      <c r="F9" s="44">
        <f>IF(AND(B9&gt;15,B9&lt;=70),1,IF(AND(B9&gt;70,B9&lt;=300),B9*0.015,IF(AND(B9&gt;300,B9&lt;=1000),6,IF(AND(B9&gt;1000),B9*0.005,"Revisar"))))</f>
        <v>6</v>
      </c>
      <c r="G9" s="182" t="str">
        <f>IF(AND(,D9&gt;F9,D10&gt;F10,D11&gt;F11,D12&gt;F12,D13&gt;F13,D14&gt;F14,D15&gt;F15,D16&gt;F16,D17&gt;F17,D18&gt;F18),"EQUIPO NO CUMPLE ESPECIFICACIÓN","EQUIPO CUMPLE ESPECIFICACIÓN")</f>
        <v>EQUIPO CUMPLE ESPECIFICACIÓN</v>
      </c>
      <c r="H9" s="58" t="s">
        <v>157</v>
      </c>
      <c r="I9" s="42">
        <v>753.4</v>
      </c>
      <c r="K9" s="42">
        <f t="shared" ref="K9:K18" si="1">F9</f>
        <v>6</v>
      </c>
      <c r="L9" s="42">
        <f t="shared" ref="L9:L18" si="2">-F9</f>
        <v>-6</v>
      </c>
    </row>
    <row r="10" spans="1:12" s="51" customFormat="1" ht="29.45" customHeight="1">
      <c r="A10" s="51">
        <v>2</v>
      </c>
      <c r="B10" s="44">
        <v>999.56</v>
      </c>
      <c r="C10" s="44">
        <v>1000</v>
      </c>
      <c r="D10" s="44">
        <f t="shared" si="0"/>
        <v>0.44000000000005457</v>
      </c>
      <c r="E10" s="60">
        <v>0.34</v>
      </c>
      <c r="F10" s="44">
        <f t="shared" ref="F10:F18" si="3">IF(AND(B10&gt;15,B10&lt;=70),1,IF(AND(B10&gt;70,B10&lt;=300),B10*0.015,IF(AND(B10&gt;300,B10&lt;=1000),6,IF(AND(B10&gt;1000),B10*0.005,"Revisar"))))</f>
        <v>6</v>
      </c>
      <c r="G10" s="182"/>
      <c r="H10" s="58" t="s">
        <v>158</v>
      </c>
      <c r="I10" s="42">
        <v>57.9</v>
      </c>
      <c r="K10" s="42">
        <f t="shared" si="1"/>
        <v>6</v>
      </c>
      <c r="L10" s="42">
        <f t="shared" si="2"/>
        <v>-6</v>
      </c>
    </row>
    <row r="11" spans="1:12" s="51" customFormat="1" ht="29.45" customHeight="1">
      <c r="A11" s="51">
        <v>3</v>
      </c>
      <c r="B11" s="44">
        <v>1499.59</v>
      </c>
      <c r="C11" s="44">
        <v>1500</v>
      </c>
      <c r="D11" s="44">
        <f t="shared" si="0"/>
        <v>0.41000000000008185</v>
      </c>
      <c r="E11" s="60">
        <v>0.34</v>
      </c>
      <c r="F11" s="44">
        <f t="shared" si="3"/>
        <v>7.4979499999999994</v>
      </c>
      <c r="G11" s="182"/>
      <c r="H11" s="58" t="s">
        <v>159</v>
      </c>
      <c r="I11" s="42" t="s">
        <v>160</v>
      </c>
      <c r="K11" s="42">
        <f t="shared" si="1"/>
        <v>7.4979499999999994</v>
      </c>
      <c r="L11" s="42">
        <f t="shared" si="2"/>
        <v>-7.4979499999999994</v>
      </c>
    </row>
    <row r="12" spans="1:12" s="51" customFormat="1" ht="29.45" customHeight="1">
      <c r="A12" s="51">
        <v>4</v>
      </c>
      <c r="B12" s="44">
        <v>1999.82</v>
      </c>
      <c r="C12" s="44">
        <v>2000</v>
      </c>
      <c r="D12" s="44">
        <f t="shared" si="0"/>
        <v>0.18000000000006366</v>
      </c>
      <c r="E12" s="60">
        <v>0.34</v>
      </c>
      <c r="F12" s="44">
        <f t="shared" si="3"/>
        <v>9.9991000000000003</v>
      </c>
      <c r="G12" s="182"/>
      <c r="H12" s="58" t="s">
        <v>146</v>
      </c>
      <c r="I12" s="50">
        <v>45628</v>
      </c>
      <c r="K12" s="42">
        <f t="shared" si="1"/>
        <v>9.9991000000000003</v>
      </c>
      <c r="L12" s="42">
        <f t="shared" si="2"/>
        <v>-9.9991000000000003</v>
      </c>
    </row>
    <row r="13" spans="1:12" s="51" customFormat="1" ht="21.6" customHeight="1">
      <c r="A13" s="51">
        <v>5</v>
      </c>
      <c r="B13" s="44">
        <v>2499.35</v>
      </c>
      <c r="C13" s="44">
        <v>2500</v>
      </c>
      <c r="D13" s="44">
        <f t="shared" si="0"/>
        <v>0.65000000000009095</v>
      </c>
      <c r="E13" s="60">
        <v>0.34</v>
      </c>
      <c r="F13" s="44">
        <f t="shared" si="3"/>
        <v>12.49675</v>
      </c>
      <c r="G13" s="182"/>
      <c r="H13" s="175" t="s">
        <v>161</v>
      </c>
      <c r="I13" s="175"/>
      <c r="K13" s="42">
        <f t="shared" si="1"/>
        <v>12.49675</v>
      </c>
      <c r="L13" s="42">
        <f t="shared" si="2"/>
        <v>-12.49675</v>
      </c>
    </row>
    <row r="14" spans="1:12" s="51" customFormat="1" ht="21.6" customHeight="1">
      <c r="A14" s="51">
        <v>6</v>
      </c>
      <c r="B14" s="44">
        <v>2999.58</v>
      </c>
      <c r="C14" s="44">
        <v>3000</v>
      </c>
      <c r="D14" s="44">
        <f t="shared" si="0"/>
        <v>0.42000000000007276</v>
      </c>
      <c r="E14" s="60">
        <v>0.34</v>
      </c>
      <c r="F14" s="44">
        <f t="shared" si="3"/>
        <v>14.9979</v>
      </c>
      <c r="G14" s="182"/>
      <c r="H14" s="175"/>
      <c r="I14" s="175"/>
      <c r="K14" s="42">
        <f t="shared" si="1"/>
        <v>14.9979</v>
      </c>
      <c r="L14" s="42">
        <f t="shared" si="2"/>
        <v>-14.9979</v>
      </c>
    </row>
    <row r="15" spans="1:12" s="51" customFormat="1" ht="21.6" customHeight="1">
      <c r="A15" s="51">
        <v>7</v>
      </c>
      <c r="B15" s="44">
        <v>3499.2</v>
      </c>
      <c r="C15" s="58">
        <v>3500</v>
      </c>
      <c r="D15" s="44">
        <f t="shared" si="0"/>
        <v>0.8000000000001819</v>
      </c>
      <c r="E15" s="60">
        <v>0.34</v>
      </c>
      <c r="F15" s="44">
        <f t="shared" si="3"/>
        <v>17.495999999999999</v>
      </c>
      <c r="G15" s="182"/>
      <c r="H15" s="175"/>
      <c r="I15" s="175"/>
      <c r="K15" s="42">
        <f t="shared" si="1"/>
        <v>17.495999999999999</v>
      </c>
      <c r="L15" s="42">
        <f t="shared" si="2"/>
        <v>-17.495999999999999</v>
      </c>
    </row>
    <row r="16" spans="1:12" s="51" customFormat="1" ht="21.6" customHeight="1">
      <c r="A16" s="51">
        <v>8</v>
      </c>
      <c r="B16" s="44">
        <v>3999.43</v>
      </c>
      <c r="C16" s="44">
        <v>4000</v>
      </c>
      <c r="D16" s="44">
        <f t="shared" si="0"/>
        <v>0.57000000000016371</v>
      </c>
      <c r="E16" s="60">
        <v>0.35</v>
      </c>
      <c r="F16" s="44">
        <f t="shared" si="3"/>
        <v>19.997150000000001</v>
      </c>
      <c r="G16" s="182"/>
      <c r="H16" s="175"/>
      <c r="I16" s="175"/>
      <c r="K16" s="42">
        <f t="shared" si="1"/>
        <v>19.997150000000001</v>
      </c>
      <c r="L16" s="42">
        <f t="shared" si="2"/>
        <v>-19.997150000000001</v>
      </c>
    </row>
    <row r="17" spans="1:12" s="51" customFormat="1" ht="21.6" customHeight="1">
      <c r="A17" s="51">
        <v>9</v>
      </c>
      <c r="B17" s="44">
        <v>4499.04</v>
      </c>
      <c r="C17" s="44">
        <v>4500</v>
      </c>
      <c r="D17" s="44">
        <f t="shared" si="0"/>
        <v>0.96000000000003638</v>
      </c>
      <c r="E17" s="60">
        <v>0.35</v>
      </c>
      <c r="F17" s="44">
        <f t="shared" si="3"/>
        <v>22.495200000000001</v>
      </c>
      <c r="G17" s="182"/>
      <c r="H17" s="175"/>
      <c r="I17" s="175"/>
      <c r="K17" s="42">
        <f t="shared" si="1"/>
        <v>22.495200000000001</v>
      </c>
      <c r="L17" s="42">
        <f t="shared" si="2"/>
        <v>-22.495200000000001</v>
      </c>
    </row>
    <row r="18" spans="1:12" s="51" customFormat="1" ht="21.6" customHeight="1">
      <c r="A18" s="51">
        <v>10</v>
      </c>
      <c r="B18" s="44">
        <v>4999.54</v>
      </c>
      <c r="C18" s="44">
        <v>5000</v>
      </c>
      <c r="D18" s="44">
        <f t="shared" si="0"/>
        <v>0.46000000000003638</v>
      </c>
      <c r="E18" s="60">
        <v>0.35</v>
      </c>
      <c r="F18" s="44">
        <f t="shared" si="3"/>
        <v>24.997700000000002</v>
      </c>
      <c r="G18" s="182"/>
      <c r="H18" s="175"/>
      <c r="I18" s="175"/>
      <c r="K18" s="51">
        <f t="shared" si="1"/>
        <v>24.997700000000002</v>
      </c>
      <c r="L18" s="51">
        <f t="shared" si="2"/>
        <v>-24.997700000000002</v>
      </c>
    </row>
    <row r="20" spans="1:12">
      <c r="B20" s="176" t="s">
        <v>168</v>
      </c>
      <c r="C20" s="177"/>
      <c r="D20" s="177"/>
      <c r="E20" s="177"/>
      <c r="F20" s="177"/>
      <c r="G20" s="177"/>
      <c r="H20" s="178"/>
      <c r="I20" s="71"/>
    </row>
    <row r="21" spans="1:12">
      <c r="B21" s="100" t="s">
        <v>169</v>
      </c>
      <c r="C21" s="79">
        <v>45720</v>
      </c>
      <c r="D21" s="79">
        <v>45811</v>
      </c>
      <c r="E21" s="79">
        <v>45897</v>
      </c>
      <c r="F21" s="80"/>
      <c r="G21" s="81"/>
      <c r="H21" s="82"/>
      <c r="I21" s="51"/>
    </row>
    <row r="22" spans="1:12">
      <c r="B22" s="101" t="s">
        <v>170</v>
      </c>
      <c r="C22" s="72" t="s">
        <v>171</v>
      </c>
      <c r="D22" s="72" t="s">
        <v>184</v>
      </c>
      <c r="E22" s="72" t="s">
        <v>171</v>
      </c>
      <c r="F22" s="80"/>
      <c r="G22" s="83"/>
      <c r="H22" s="84"/>
      <c r="I22" s="51"/>
    </row>
    <row r="23" spans="1:12" ht="46.15" customHeight="1">
      <c r="B23" s="49" t="s">
        <v>149</v>
      </c>
      <c r="C23" s="49" t="s">
        <v>173</v>
      </c>
      <c r="D23" s="49" t="s">
        <v>174</v>
      </c>
      <c r="E23" s="85" t="s">
        <v>175</v>
      </c>
      <c r="F23" s="179"/>
      <c r="G23" s="86" t="s">
        <v>176</v>
      </c>
      <c r="H23" s="49" t="s">
        <v>177</v>
      </c>
      <c r="J23" s="76" t="s">
        <v>155</v>
      </c>
      <c r="K23" s="42" t="s">
        <v>156</v>
      </c>
    </row>
    <row r="24" spans="1:12" ht="15.6" customHeight="1">
      <c r="B24" s="74">
        <v>0</v>
      </c>
      <c r="C24" s="74">
        <v>0</v>
      </c>
      <c r="D24" s="74">
        <v>0</v>
      </c>
      <c r="E24" s="74"/>
      <c r="F24" s="179"/>
      <c r="G24" s="181" t="str">
        <f>IF(AND(ABS(G33)&lt;$B$32,ABS(G34)&lt;$B$33,ABS(G35)&lt;$B$34,ABS(G36)&lt;$B$35,ABS(G37)&lt;$B$36,ABS(G38)&lt;$B$37,ABS(G39)&lt;$B$38,ABS(G40)&lt;$B$39),"EQUIPO SE ENCUENTRA COMPROBADO","EQUIPO TIENE ALGUNA AFECTACIÓN, ENVIAR A REVISIÓN")</f>
        <v>EQUIPO SE ENCUENTRA COMPROBADO</v>
      </c>
      <c r="H24" s="182" t="e">
        <f>IF(AND(ABS(H33)&lt;$B$32,ABS(H34)&lt;$B$33,ABS(H35)&lt;$B$34,ABS(H36)&lt;$B$35,ABS(H37)&lt;$B$36,ABS(H38)&lt;$B$37,ABS(H39)&lt;$B$38,ABS(H40)&lt;$B$39),"EQUIPO SE ENCUENTRA COMPROBADO","EQUIPO TIENE ALGUNA AFECTACIÓN, ENVIAR A REVISIÓN")</f>
        <v>#VALUE!</v>
      </c>
      <c r="J24" s="88">
        <f t="shared" ref="J24:J31" si="4">B33</f>
        <v>1</v>
      </c>
      <c r="K24" s="88">
        <f t="shared" ref="K24:K31" si="5">-B33</f>
        <v>-1</v>
      </c>
    </row>
    <row r="25" spans="1:12" ht="15.6" customHeight="1">
      <c r="B25" s="74">
        <v>428</v>
      </c>
      <c r="C25" s="74">
        <v>427.7</v>
      </c>
      <c r="D25" s="74">
        <v>427.8</v>
      </c>
      <c r="E25" s="74"/>
      <c r="F25" s="179"/>
      <c r="G25" s="181"/>
      <c r="H25" s="182"/>
      <c r="J25" s="88">
        <f t="shared" si="4"/>
        <v>6</v>
      </c>
      <c r="K25" s="88">
        <f t="shared" si="5"/>
        <v>-6</v>
      </c>
    </row>
    <row r="26" spans="1:12" ht="15.6" customHeight="1">
      <c r="B26" s="74">
        <v>856</v>
      </c>
      <c r="C26" s="74">
        <v>855.9</v>
      </c>
      <c r="D26" s="74">
        <v>855.8</v>
      </c>
      <c r="E26" s="74"/>
      <c r="F26" s="179"/>
      <c r="G26" s="181"/>
      <c r="H26" s="182"/>
      <c r="J26" s="88">
        <f t="shared" si="4"/>
        <v>6</v>
      </c>
      <c r="K26" s="88">
        <f t="shared" si="5"/>
        <v>-6</v>
      </c>
    </row>
    <row r="27" spans="1:12" ht="15.6" customHeight="1">
      <c r="B27" s="74">
        <v>1284</v>
      </c>
      <c r="C27" s="74">
        <v>1283.9000000000001</v>
      </c>
      <c r="D27" s="74">
        <v>1283.8</v>
      </c>
      <c r="E27" s="74"/>
      <c r="F27" s="179"/>
      <c r="G27" s="181"/>
      <c r="H27" s="182"/>
      <c r="J27" s="88">
        <f t="shared" si="4"/>
        <v>6.42</v>
      </c>
      <c r="K27" s="88">
        <f t="shared" si="5"/>
        <v>-6.42</v>
      </c>
    </row>
    <row r="28" spans="1:12" ht="15.6" customHeight="1">
      <c r="B28" s="74">
        <v>1712</v>
      </c>
      <c r="C28" s="89">
        <v>1711.4</v>
      </c>
      <c r="D28" s="89">
        <v>1711.6</v>
      </c>
      <c r="E28" s="89"/>
      <c r="F28" s="179"/>
      <c r="G28" s="181"/>
      <c r="H28" s="182"/>
      <c r="J28" s="88">
        <f t="shared" si="4"/>
        <v>8.56</v>
      </c>
      <c r="K28" s="88">
        <f t="shared" si="5"/>
        <v>-8.56</v>
      </c>
    </row>
    <row r="29" spans="1:12" ht="15.6" customHeight="1">
      <c r="B29" s="74">
        <v>2140</v>
      </c>
      <c r="C29" s="74">
        <v>2140.4</v>
      </c>
      <c r="D29" s="74">
        <v>2140.5</v>
      </c>
      <c r="E29" s="74"/>
      <c r="F29" s="179"/>
      <c r="G29" s="181"/>
      <c r="H29" s="182"/>
      <c r="J29" s="88">
        <f t="shared" si="4"/>
        <v>10.700000000000001</v>
      </c>
      <c r="K29" s="88">
        <f t="shared" si="5"/>
        <v>-10.700000000000001</v>
      </c>
    </row>
    <row r="30" spans="1:12" ht="15.6" customHeight="1">
      <c r="B30" s="74">
        <v>2568</v>
      </c>
      <c r="C30" s="74">
        <v>2566.1999999999998</v>
      </c>
      <c r="D30" s="74">
        <v>2566.5</v>
      </c>
      <c r="E30" s="74"/>
      <c r="F30" s="179"/>
      <c r="G30" s="181"/>
      <c r="H30" s="182"/>
      <c r="J30" s="88">
        <f t="shared" si="4"/>
        <v>12.84</v>
      </c>
      <c r="K30" s="88">
        <f t="shared" si="5"/>
        <v>-12.84</v>
      </c>
    </row>
    <row r="31" spans="1:12" ht="15.6" customHeight="1">
      <c r="B31" s="74">
        <v>3000</v>
      </c>
      <c r="C31" s="74">
        <v>3000.2</v>
      </c>
      <c r="D31" s="74">
        <v>3000.3</v>
      </c>
      <c r="E31" s="74"/>
      <c r="F31" s="179"/>
      <c r="G31" s="181"/>
      <c r="H31" s="182"/>
      <c r="J31" s="88">
        <f t="shared" si="4"/>
        <v>15</v>
      </c>
      <c r="K31" s="88">
        <f t="shared" si="5"/>
        <v>-15</v>
      </c>
    </row>
    <row r="32" spans="1:12" ht="45.75">
      <c r="B32" s="91" t="s">
        <v>178</v>
      </c>
      <c r="C32" s="49" t="s">
        <v>179</v>
      </c>
      <c r="D32" s="49" t="s">
        <v>180</v>
      </c>
      <c r="E32" s="85" t="s">
        <v>181</v>
      </c>
      <c r="F32" s="179"/>
      <c r="G32" s="86" t="s">
        <v>182</v>
      </c>
      <c r="H32" s="49" t="s">
        <v>183</v>
      </c>
    </row>
    <row r="33" spans="2:13" ht="15.6" customHeight="1">
      <c r="B33" s="74">
        <f>IF(AND(B24&gt;=15,B24&lt;=70),1,IF(AND(B24&gt;70,B24&lt;=300),B24*0.015,IF(AND(B24&gt;300,B24&lt;=1000),6,IF(AND(B24&gt;1000),B24*0.005,1))))</f>
        <v>1</v>
      </c>
      <c r="C33" s="74">
        <f>C24-B24</f>
        <v>0</v>
      </c>
      <c r="D33" s="74">
        <f>D24-B24</f>
        <v>0</v>
      </c>
      <c r="E33" s="87" t="str">
        <f>IF(E24="","",E24-B24)</f>
        <v/>
      </c>
      <c r="F33" s="179"/>
      <c r="G33" s="92">
        <f>C33-D33</f>
        <v>0</v>
      </c>
      <c r="H33" s="88" t="e">
        <f t="shared" ref="H33:H40" si="6">C33-E33</f>
        <v>#VALUE!</v>
      </c>
    </row>
    <row r="34" spans="2:13" ht="15.6" customHeight="1">
      <c r="B34" s="74">
        <f t="shared" ref="B34:B40" si="7">IF(AND(B25&gt;=15,B25&lt;=70),1,IF(AND(B25&gt;70,B25&lt;=300),B25*0.015,IF(AND(B25&gt;300,B25&lt;=1000),6,IF(AND(B25&gt;1000),B25*0.005,1))))</f>
        <v>6</v>
      </c>
      <c r="C34" s="74">
        <f t="shared" ref="C34:C40" si="8">C25-B25</f>
        <v>-0.30000000000001137</v>
      </c>
      <c r="D34" s="74">
        <f t="shared" ref="D34:D40" si="9">D25-B25</f>
        <v>-0.19999999999998863</v>
      </c>
      <c r="E34" s="87" t="str">
        <f t="shared" ref="E34:E40" si="10">IF(E25="","",E25-B25)</f>
        <v/>
      </c>
      <c r="F34" s="179"/>
      <c r="G34" s="92">
        <f>C34-D34</f>
        <v>-0.10000000000002274</v>
      </c>
      <c r="H34" s="88" t="e">
        <f t="shared" si="6"/>
        <v>#VALUE!</v>
      </c>
    </row>
    <row r="35" spans="2:13" ht="15.6" customHeight="1">
      <c r="B35" s="74">
        <f t="shared" si="7"/>
        <v>6</v>
      </c>
      <c r="C35" s="74">
        <f t="shared" si="8"/>
        <v>-0.10000000000002274</v>
      </c>
      <c r="D35" s="74">
        <f t="shared" si="9"/>
        <v>-0.20000000000004547</v>
      </c>
      <c r="E35" s="87" t="str">
        <f t="shared" si="10"/>
        <v/>
      </c>
      <c r="F35" s="179"/>
      <c r="G35" s="92">
        <f t="shared" ref="G35:G40" si="11">C35-D35</f>
        <v>0.10000000000002274</v>
      </c>
      <c r="H35" s="88" t="e">
        <f t="shared" si="6"/>
        <v>#VALUE!</v>
      </c>
    </row>
    <row r="36" spans="2:13" ht="15.6" customHeight="1">
      <c r="B36" s="74">
        <f t="shared" si="7"/>
        <v>6.42</v>
      </c>
      <c r="C36" s="74">
        <f t="shared" si="8"/>
        <v>-9.9999999999909051E-2</v>
      </c>
      <c r="D36" s="74">
        <f t="shared" si="9"/>
        <v>-0.20000000000004547</v>
      </c>
      <c r="E36" s="87" t="str">
        <f t="shared" si="10"/>
        <v/>
      </c>
      <c r="F36" s="179"/>
      <c r="G36" s="92">
        <f t="shared" si="11"/>
        <v>0.10000000000013642</v>
      </c>
      <c r="H36" s="88" t="e">
        <f t="shared" si="6"/>
        <v>#VALUE!</v>
      </c>
    </row>
    <row r="37" spans="2:13" ht="15.6" customHeight="1">
      <c r="B37" s="74">
        <f t="shared" si="7"/>
        <v>8.56</v>
      </c>
      <c r="C37" s="74">
        <f t="shared" si="8"/>
        <v>-0.59999999999990905</v>
      </c>
      <c r="D37" s="74">
        <f t="shared" si="9"/>
        <v>-0.40000000000009095</v>
      </c>
      <c r="E37" s="87" t="str">
        <f t="shared" si="10"/>
        <v/>
      </c>
      <c r="F37" s="179"/>
      <c r="G37" s="92">
        <f t="shared" si="11"/>
        <v>-0.1999999999998181</v>
      </c>
      <c r="H37" s="88" t="e">
        <f t="shared" si="6"/>
        <v>#VALUE!</v>
      </c>
    </row>
    <row r="38" spans="2:13" ht="15.6" customHeight="1">
      <c r="B38" s="74">
        <f t="shared" si="7"/>
        <v>10.700000000000001</v>
      </c>
      <c r="C38" s="74">
        <f t="shared" si="8"/>
        <v>0.40000000000009095</v>
      </c>
      <c r="D38" s="74">
        <f t="shared" si="9"/>
        <v>0.5</v>
      </c>
      <c r="E38" s="87" t="str">
        <f t="shared" si="10"/>
        <v/>
      </c>
      <c r="F38" s="179"/>
      <c r="G38" s="92">
        <f t="shared" si="11"/>
        <v>-9.9999999999909051E-2</v>
      </c>
      <c r="H38" s="88" t="e">
        <f t="shared" si="6"/>
        <v>#VALUE!</v>
      </c>
    </row>
    <row r="39" spans="2:13" ht="15.6" customHeight="1">
      <c r="B39" s="74">
        <f t="shared" si="7"/>
        <v>12.84</v>
      </c>
      <c r="C39" s="74">
        <f t="shared" si="8"/>
        <v>-1.8000000000001819</v>
      </c>
      <c r="D39" s="74">
        <f t="shared" si="9"/>
        <v>-1.5</v>
      </c>
      <c r="E39" s="87" t="str">
        <f t="shared" si="10"/>
        <v/>
      </c>
      <c r="F39" s="179"/>
      <c r="G39" s="92">
        <f t="shared" si="11"/>
        <v>-0.3000000000001819</v>
      </c>
      <c r="H39" s="88" t="e">
        <f t="shared" si="6"/>
        <v>#VALUE!</v>
      </c>
    </row>
    <row r="40" spans="2:13" ht="15.6" customHeight="1">
      <c r="B40" s="74">
        <f t="shared" si="7"/>
        <v>15</v>
      </c>
      <c r="C40" s="74">
        <f t="shared" si="8"/>
        <v>0.1999999999998181</v>
      </c>
      <c r="D40" s="74">
        <f t="shared" si="9"/>
        <v>0.3000000000001819</v>
      </c>
      <c r="E40" s="87" t="str">
        <f t="shared" si="10"/>
        <v/>
      </c>
      <c r="F40" s="180"/>
      <c r="G40" s="92">
        <f t="shared" si="11"/>
        <v>-0.1000000000003638</v>
      </c>
      <c r="H40" s="88" t="e">
        <f t="shared" si="6"/>
        <v>#VALUE!</v>
      </c>
    </row>
    <row r="42" spans="2:13">
      <c r="L42" s="57"/>
      <c r="M42" s="57"/>
    </row>
  </sheetData>
  <mergeCells count="11">
    <mergeCell ref="I3:I4"/>
    <mergeCell ref="B6:I6"/>
    <mergeCell ref="B7:I7"/>
    <mergeCell ref="G9:G18"/>
    <mergeCell ref="H13:I18"/>
    <mergeCell ref="B20:H20"/>
    <mergeCell ref="F23:F40"/>
    <mergeCell ref="G24:G31"/>
    <mergeCell ref="H24:H31"/>
    <mergeCell ref="G3:G4"/>
    <mergeCell ref="H3:H4"/>
  </mergeCells>
  <conditionalFormatting sqref="O8">
    <cfRule type="expression" dxfId="33" priority="1">
      <formula>" "</formula>
    </cfRule>
    <cfRule type="containsText" dxfId="32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6AEC-CEF6-4B6F-B5A0-0AD2ECCB9A0C}">
  <dimension ref="A2:M42"/>
  <sheetViews>
    <sheetView topLeftCell="A18" zoomScale="77" workbookViewId="0">
      <selection activeCell="I32" sqref="I32"/>
    </sheetView>
  </sheetViews>
  <sheetFormatPr defaultColWidth="11.42578125" defaultRowHeight="15"/>
  <cols>
    <col min="1" max="1" width="3.28515625" customWidth="1"/>
    <col min="2" max="9" width="17.140625" customWidth="1"/>
    <col min="10" max="10" width="15.5703125" customWidth="1"/>
    <col min="11" max="11" width="10.5703125" bestFit="1" customWidth="1"/>
  </cols>
  <sheetData>
    <row r="2" spans="1:12" ht="48.6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162</v>
      </c>
      <c r="H2" s="49" t="s">
        <v>163</v>
      </c>
      <c r="I2" s="49" t="s">
        <v>164</v>
      </c>
      <c r="J2" s="56"/>
    </row>
    <row r="3" spans="1:12" ht="22.15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 ca="1">IF(TODAY()-$F$3&lt;=340,$F$4+90,"ERROR, CALIBRE EL PATRÓN")</f>
        <v>45865</v>
      </c>
      <c r="H3" s="183">
        <f ca="1">IF(TODAY()-$F$3&lt;=340,$F$4+180,"ERROR, CALIBRE EL PATRÓN")</f>
        <v>45955</v>
      </c>
      <c r="I3" s="183">
        <f ca="1">IF(TODAY()-$F$3&lt;=340,$F$4+270,"ERROR, CALIBRE EL PATRÓN")</f>
        <v>46045</v>
      </c>
      <c r="J3" s="39"/>
    </row>
    <row r="4" spans="1:12" ht="28.15" customHeight="1">
      <c r="B4" s="58" t="s">
        <v>165</v>
      </c>
      <c r="C4" s="42" t="s">
        <v>34</v>
      </c>
      <c r="D4" s="42" t="str">
        <f>IF(C4='CONTROL CALIBRACIONES'!C16,'CONTROL CALIBRACIONES'!E16,IF(C4='CONTROL CALIBRACIONES'!C16,'CONTROL CALIBRACIONES'!C16,'CONTROL CALIBRACIONES'!C17))</f>
        <v>XP2i</v>
      </c>
      <c r="E4" s="42">
        <v>322944</v>
      </c>
      <c r="F4" s="50">
        <f>'CONTROL CALIBRACIONES'!G18</f>
        <v>45775</v>
      </c>
      <c r="G4" s="183"/>
      <c r="H4" s="183"/>
      <c r="I4" s="183"/>
      <c r="J4" s="39"/>
    </row>
    <row r="6" spans="1:12" s="51" customFormat="1" ht="29.45" customHeight="1">
      <c r="B6" s="171" t="s">
        <v>148</v>
      </c>
      <c r="C6" s="171"/>
      <c r="D6" s="171"/>
      <c r="E6" s="171"/>
      <c r="F6" s="171"/>
      <c r="G6" s="171"/>
      <c r="H6" s="171"/>
      <c r="I6" s="171"/>
    </row>
    <row r="7" spans="1:12" s="51" customFormat="1" ht="3.6" customHeight="1">
      <c r="B7" s="172"/>
      <c r="C7" s="172"/>
      <c r="D7" s="172"/>
      <c r="E7" s="172"/>
      <c r="F7" s="172"/>
      <c r="G7" s="172"/>
      <c r="H7" s="172"/>
      <c r="I7" s="172"/>
    </row>
    <row r="8" spans="1:12" s="51" customFormat="1" ht="29.45" customHeight="1">
      <c r="B8" s="49" t="s">
        <v>149</v>
      </c>
      <c r="C8" s="43" t="s">
        <v>150</v>
      </c>
      <c r="D8" s="43" t="s">
        <v>151</v>
      </c>
      <c r="E8" s="43" t="s">
        <v>152</v>
      </c>
      <c r="F8" s="49" t="s">
        <v>153</v>
      </c>
      <c r="G8" s="43" t="s">
        <v>154</v>
      </c>
      <c r="H8" s="58" t="s">
        <v>166</v>
      </c>
      <c r="I8" s="42">
        <v>23.2</v>
      </c>
      <c r="K8" s="42" t="s">
        <v>155</v>
      </c>
      <c r="L8" s="42" t="s">
        <v>156</v>
      </c>
    </row>
    <row r="9" spans="1:12" s="51" customFormat="1" ht="29.45" customHeight="1">
      <c r="A9" s="51">
        <v>1</v>
      </c>
      <c r="B9" s="44">
        <v>300</v>
      </c>
      <c r="C9" s="44">
        <v>299.8</v>
      </c>
      <c r="D9" s="44">
        <f t="shared" ref="D9:D18" si="0">C9-B9</f>
        <v>-0.19999999999998863</v>
      </c>
      <c r="E9" s="60">
        <v>0.34</v>
      </c>
      <c r="F9" s="44">
        <f>IF(AND(B9&gt;15,B9&lt;=70),1,IF(AND(B9&gt;70,B9&lt;=300),B9*0.015,IF(AND(B9&gt;300,B9&lt;=1000),6,IF(AND(B9&gt;1000),B9*0.005,"Revisar"))))</f>
        <v>4.5</v>
      </c>
      <c r="G9" s="182" t="str">
        <f>IF(AND(,D9&gt;F9,D10&gt;F10,D11&gt;F11,D12&gt;F12,D13&gt;F13,D14&gt;F14,D15&gt;F15,D16&gt;F16,D17&gt;F17,D18&gt;F18),"EQUIPO NO CUMPLE ESPECIFICACIÓN","EQUIPO CUMPLE ESPECIFICACIÓN")</f>
        <v>EQUIPO CUMPLE ESPECIFICACIÓN</v>
      </c>
      <c r="H9" s="58" t="s">
        <v>157</v>
      </c>
      <c r="I9" s="42">
        <v>751.1</v>
      </c>
      <c r="K9" s="42">
        <f t="shared" ref="K9:K18" si="1">F9</f>
        <v>4.5</v>
      </c>
      <c r="L9" s="42">
        <f t="shared" ref="L9:L18" si="2">-F9</f>
        <v>-4.5</v>
      </c>
    </row>
    <row r="10" spans="1:12" s="51" customFormat="1" ht="29.45" customHeight="1">
      <c r="A10" s="51">
        <v>2</v>
      </c>
      <c r="B10" s="44">
        <v>600</v>
      </c>
      <c r="C10" s="44">
        <v>600.20000000000005</v>
      </c>
      <c r="D10" s="44">
        <f t="shared" si="0"/>
        <v>0.20000000000004547</v>
      </c>
      <c r="E10" s="60">
        <v>0.34</v>
      </c>
      <c r="F10" s="44">
        <f t="shared" ref="F10:F18" si="3">IF(AND(B10&gt;15,B10&lt;=70),1,IF(AND(B10&gt;70,B10&lt;=300),B10*0.015,IF(AND(B10&gt;300,B10&lt;=1000),6,IF(AND(B10&gt;1000),B10*0.005,"Revisar"))))</f>
        <v>6</v>
      </c>
      <c r="G10" s="182"/>
      <c r="H10" s="58" t="s">
        <v>158</v>
      </c>
      <c r="I10" s="42">
        <v>49.4</v>
      </c>
      <c r="K10" s="42">
        <f t="shared" si="1"/>
        <v>6</v>
      </c>
      <c r="L10" s="42">
        <f t="shared" si="2"/>
        <v>-6</v>
      </c>
    </row>
    <row r="11" spans="1:12" s="51" customFormat="1" ht="29.45" customHeight="1">
      <c r="A11" s="51">
        <v>3</v>
      </c>
      <c r="B11" s="44">
        <v>900</v>
      </c>
      <c r="C11" s="44">
        <v>899.9</v>
      </c>
      <c r="D11" s="44">
        <f t="shared" si="0"/>
        <v>-0.10000000000002274</v>
      </c>
      <c r="E11" s="60">
        <v>0.34</v>
      </c>
      <c r="F11" s="44">
        <f t="shared" si="3"/>
        <v>6</v>
      </c>
      <c r="G11" s="182"/>
      <c r="H11" s="58" t="s">
        <v>159</v>
      </c>
      <c r="I11" s="42" t="s">
        <v>160</v>
      </c>
      <c r="K11" s="42">
        <f t="shared" si="1"/>
        <v>6</v>
      </c>
      <c r="L11" s="42">
        <f t="shared" si="2"/>
        <v>-6</v>
      </c>
    </row>
    <row r="12" spans="1:12" s="51" customFormat="1" ht="29.45" customHeight="1">
      <c r="A12" s="51">
        <v>4</v>
      </c>
      <c r="B12" s="44">
        <v>1200</v>
      </c>
      <c r="C12" s="44">
        <v>1199.8</v>
      </c>
      <c r="D12" s="44">
        <f t="shared" si="0"/>
        <v>-0.20000000000004547</v>
      </c>
      <c r="E12" s="60">
        <v>0.34</v>
      </c>
      <c r="F12" s="44">
        <f t="shared" si="3"/>
        <v>6</v>
      </c>
      <c r="G12" s="182"/>
      <c r="H12" s="58" t="s">
        <v>146</v>
      </c>
      <c r="I12" s="50">
        <v>45635</v>
      </c>
      <c r="K12" s="42">
        <f t="shared" si="1"/>
        <v>6</v>
      </c>
      <c r="L12" s="42">
        <f t="shared" si="2"/>
        <v>-6</v>
      </c>
    </row>
    <row r="13" spans="1:12" s="51" customFormat="1" ht="21.6" customHeight="1">
      <c r="A13" s="51">
        <v>5</v>
      </c>
      <c r="B13" s="44">
        <v>1500</v>
      </c>
      <c r="C13" s="44">
        <v>1499.8</v>
      </c>
      <c r="D13" s="44">
        <f t="shared" si="0"/>
        <v>-0.20000000000004547</v>
      </c>
      <c r="E13" s="60">
        <v>0.34</v>
      </c>
      <c r="F13" s="44">
        <f t="shared" si="3"/>
        <v>7.5</v>
      </c>
      <c r="G13" s="182"/>
      <c r="H13" s="175" t="s">
        <v>161</v>
      </c>
      <c r="I13" s="175"/>
      <c r="K13" s="42">
        <f t="shared" si="1"/>
        <v>7.5</v>
      </c>
      <c r="L13" s="42">
        <f t="shared" si="2"/>
        <v>-7.5</v>
      </c>
    </row>
    <row r="14" spans="1:12" s="51" customFormat="1" ht="21.6" customHeight="1">
      <c r="A14" s="51">
        <v>6</v>
      </c>
      <c r="B14" s="44">
        <v>1800</v>
      </c>
      <c r="C14" s="44">
        <v>1800</v>
      </c>
      <c r="D14" s="44">
        <f t="shared" si="0"/>
        <v>0</v>
      </c>
      <c r="E14" s="60">
        <v>0.34</v>
      </c>
      <c r="F14" s="44">
        <f t="shared" si="3"/>
        <v>9</v>
      </c>
      <c r="G14" s="182"/>
      <c r="H14" s="175"/>
      <c r="I14" s="175"/>
      <c r="K14" s="42">
        <f t="shared" si="1"/>
        <v>9</v>
      </c>
      <c r="L14" s="42">
        <f t="shared" si="2"/>
        <v>-9</v>
      </c>
    </row>
    <row r="15" spans="1:12" s="51" customFormat="1" ht="21.6" customHeight="1">
      <c r="A15" s="51">
        <v>7</v>
      </c>
      <c r="B15" s="44">
        <v>2100</v>
      </c>
      <c r="C15" s="58">
        <v>2100.4</v>
      </c>
      <c r="D15" s="44">
        <f t="shared" si="0"/>
        <v>0.40000000000009095</v>
      </c>
      <c r="E15" s="60">
        <v>0.34</v>
      </c>
      <c r="F15" s="44">
        <f t="shared" si="3"/>
        <v>10.5</v>
      </c>
      <c r="G15" s="182"/>
      <c r="H15" s="175"/>
      <c r="I15" s="175"/>
      <c r="K15" s="42">
        <f t="shared" si="1"/>
        <v>10.5</v>
      </c>
      <c r="L15" s="42">
        <f t="shared" si="2"/>
        <v>-10.5</v>
      </c>
    </row>
    <row r="16" spans="1:12" s="51" customFormat="1" ht="21.6" customHeight="1">
      <c r="A16" s="51">
        <v>8</v>
      </c>
      <c r="B16" s="44">
        <v>2400</v>
      </c>
      <c r="C16" s="44">
        <v>2399.9</v>
      </c>
      <c r="D16" s="44">
        <f t="shared" si="0"/>
        <v>-9.9999999999909051E-2</v>
      </c>
      <c r="E16" s="60">
        <v>0.35</v>
      </c>
      <c r="F16" s="44">
        <f t="shared" si="3"/>
        <v>12</v>
      </c>
      <c r="G16" s="182"/>
      <c r="H16" s="175"/>
      <c r="I16" s="175"/>
      <c r="K16" s="42">
        <f t="shared" si="1"/>
        <v>12</v>
      </c>
      <c r="L16" s="42">
        <f t="shared" si="2"/>
        <v>-12</v>
      </c>
    </row>
    <row r="17" spans="1:12" s="51" customFormat="1" ht="21.6" customHeight="1">
      <c r="A17" s="51">
        <v>9</v>
      </c>
      <c r="B17" s="44">
        <v>2700</v>
      </c>
      <c r="C17" s="44">
        <v>2699.9</v>
      </c>
      <c r="D17" s="44">
        <f t="shared" si="0"/>
        <v>-9.9999999999909051E-2</v>
      </c>
      <c r="E17" s="60">
        <v>0.35</v>
      </c>
      <c r="F17" s="44">
        <f t="shared" si="3"/>
        <v>13.5</v>
      </c>
      <c r="G17" s="182"/>
      <c r="H17" s="175"/>
      <c r="I17" s="175"/>
      <c r="K17" s="42">
        <f t="shared" si="1"/>
        <v>13.5</v>
      </c>
      <c r="L17" s="42">
        <f t="shared" si="2"/>
        <v>-13.5</v>
      </c>
    </row>
    <row r="18" spans="1:12" s="51" customFormat="1" ht="21.6" customHeight="1">
      <c r="A18" s="51">
        <v>10</v>
      </c>
      <c r="B18" s="44">
        <v>3000</v>
      </c>
      <c r="C18" s="44">
        <v>2999.7</v>
      </c>
      <c r="D18" s="44">
        <f t="shared" si="0"/>
        <v>-0.3000000000001819</v>
      </c>
      <c r="E18" s="60">
        <v>0.35</v>
      </c>
      <c r="F18" s="44">
        <f t="shared" si="3"/>
        <v>15</v>
      </c>
      <c r="G18" s="182"/>
      <c r="H18" s="175"/>
      <c r="I18" s="175"/>
      <c r="K18" s="51">
        <f t="shared" si="1"/>
        <v>15</v>
      </c>
      <c r="L18" s="51">
        <f t="shared" si="2"/>
        <v>-15</v>
      </c>
    </row>
    <row r="20" spans="1:12">
      <c r="B20" s="176" t="s">
        <v>168</v>
      </c>
      <c r="C20" s="177"/>
      <c r="D20" s="177"/>
      <c r="E20" s="177"/>
      <c r="F20" s="177"/>
      <c r="G20" s="177"/>
      <c r="H20" s="178"/>
      <c r="I20" s="71"/>
    </row>
    <row r="21" spans="1:12">
      <c r="B21" s="100" t="s">
        <v>169</v>
      </c>
      <c r="C21" s="79"/>
      <c r="D21" s="79">
        <v>45834</v>
      </c>
      <c r="E21" s="79">
        <v>45929</v>
      </c>
      <c r="F21" s="80"/>
      <c r="G21" s="81"/>
      <c r="H21" s="82"/>
      <c r="I21" s="51"/>
    </row>
    <row r="22" spans="1:12">
      <c r="B22" s="101" t="s">
        <v>170</v>
      </c>
      <c r="C22" s="72"/>
      <c r="D22" s="72" t="s">
        <v>171</v>
      </c>
      <c r="E22" s="72" t="s">
        <v>171</v>
      </c>
      <c r="F22" s="80"/>
      <c r="G22" s="83"/>
      <c r="H22" s="84"/>
      <c r="I22" s="51"/>
    </row>
    <row r="23" spans="1:12" ht="46.15" customHeight="1">
      <c r="B23" s="49" t="s">
        <v>149</v>
      </c>
      <c r="C23" s="49" t="s">
        <v>173</v>
      </c>
      <c r="D23" s="49" t="s">
        <v>174</v>
      </c>
      <c r="E23" s="85" t="s">
        <v>175</v>
      </c>
      <c r="F23" s="179"/>
      <c r="G23" s="86" t="s">
        <v>176</v>
      </c>
      <c r="H23" s="49" t="s">
        <v>177</v>
      </c>
      <c r="J23" s="76" t="s">
        <v>155</v>
      </c>
      <c r="K23" s="42" t="s">
        <v>156</v>
      </c>
    </row>
    <row r="24" spans="1:12" ht="15.6" customHeight="1">
      <c r="B24" s="74">
        <v>0</v>
      </c>
      <c r="C24" s="74">
        <v>0</v>
      </c>
      <c r="D24" s="74">
        <v>0</v>
      </c>
      <c r="E24" s="74">
        <v>0</v>
      </c>
      <c r="F24" s="179"/>
      <c r="G24" s="181" t="str">
        <f>IF(AND(ABS(G33)&lt;$B$32,ABS(G34)&lt;$B$33,ABS(G35)&lt;$B$34,ABS(G36)&lt;$B$35,ABS(G37)&lt;$B$36,ABS(G38)&lt;$B$37,ABS(G39)&lt;$B$38,ABS(G40)&lt;$B$39),"EQUIPO SE ENCUENTRA COMPROBADO","EQUIPO TIENE ALGUNA AFECTACIÓN, ENVIAR A REVISIÓN")</f>
        <v>EQUIPO SE ENCUENTRA COMPROBADO</v>
      </c>
      <c r="H24" s="182" t="str">
        <f>IF(AND(ABS(H33)&lt;$B$32,ABS(H34)&lt;$B$33,ABS(H35)&lt;$B$34,ABS(H36)&lt;$B$35,ABS(H37)&lt;$B$36,ABS(H38)&lt;$B$37,ABS(H39)&lt;$B$38,ABS(H40)&lt;$B$39),"EQUIPO SE ENCUENTRA COMPROBADO","EQUIPO TIENE ALGUNA AFECTACIÓN, ENVIAR A REVISIÓN")</f>
        <v>EQUIPO SE ENCUENTRA COMPROBADO</v>
      </c>
      <c r="I24">
        <v>0</v>
      </c>
      <c r="J24" s="88">
        <f t="shared" ref="J24:J31" si="4">B33</f>
        <v>1</v>
      </c>
      <c r="K24" s="88">
        <f t="shared" ref="K24:K31" si="5">-B33</f>
        <v>-1</v>
      </c>
    </row>
    <row r="25" spans="1:12" ht="15.6" customHeight="1">
      <c r="B25" s="74">
        <v>428</v>
      </c>
      <c r="C25" s="74">
        <v>427.9</v>
      </c>
      <c r="D25" s="74">
        <v>427.9</v>
      </c>
      <c r="E25" s="74">
        <v>427.9</v>
      </c>
      <c r="F25" s="179"/>
      <c r="G25" s="181"/>
      <c r="H25" s="182"/>
      <c r="I25">
        <v>428</v>
      </c>
      <c r="J25" s="88">
        <f t="shared" si="4"/>
        <v>6</v>
      </c>
      <c r="K25" s="88">
        <f t="shared" si="5"/>
        <v>-6</v>
      </c>
    </row>
    <row r="26" spans="1:12" ht="15.6" customHeight="1">
      <c r="B26" s="74">
        <v>856</v>
      </c>
      <c r="C26" s="74">
        <v>855.9</v>
      </c>
      <c r="D26" s="74">
        <v>855.9</v>
      </c>
      <c r="E26" s="74">
        <v>856</v>
      </c>
      <c r="F26" s="179"/>
      <c r="G26" s="181"/>
      <c r="H26" s="182"/>
      <c r="I26">
        <v>856</v>
      </c>
      <c r="J26" s="88">
        <f t="shared" si="4"/>
        <v>6</v>
      </c>
      <c r="K26" s="88">
        <f t="shared" si="5"/>
        <v>-6</v>
      </c>
    </row>
    <row r="27" spans="1:12" ht="15.6" customHeight="1">
      <c r="B27" s="74">
        <v>1284</v>
      </c>
      <c r="C27" s="74">
        <v>1284.0999999999999</v>
      </c>
      <c r="D27" s="74">
        <v>1284.0999999999999</v>
      </c>
      <c r="E27" s="74">
        <v>1284.0999999999999</v>
      </c>
      <c r="F27" s="179"/>
      <c r="G27" s="181"/>
      <c r="H27" s="182"/>
      <c r="I27">
        <v>1284</v>
      </c>
      <c r="J27" s="88">
        <f t="shared" si="4"/>
        <v>6.42</v>
      </c>
      <c r="K27" s="88">
        <f t="shared" si="5"/>
        <v>-6.42</v>
      </c>
    </row>
    <row r="28" spans="1:12" ht="15.6" customHeight="1">
      <c r="B28" s="74">
        <v>1712</v>
      </c>
      <c r="C28" s="89">
        <v>1712.1</v>
      </c>
      <c r="D28" s="89">
        <v>1712.1</v>
      </c>
      <c r="E28" s="89">
        <v>1712.2</v>
      </c>
      <c r="F28" s="179"/>
      <c r="G28" s="181"/>
      <c r="H28" s="182"/>
      <c r="I28">
        <v>1712.1</v>
      </c>
      <c r="J28" s="88">
        <f t="shared" si="4"/>
        <v>8.56</v>
      </c>
      <c r="K28" s="88">
        <f t="shared" si="5"/>
        <v>-8.56</v>
      </c>
    </row>
    <row r="29" spans="1:12" ht="15.6" customHeight="1">
      <c r="B29" s="74">
        <v>2140</v>
      </c>
      <c r="C29" s="74">
        <v>2140.1999999999998</v>
      </c>
      <c r="D29" s="74">
        <v>2140.1999999999998</v>
      </c>
      <c r="E29" s="74">
        <v>2140.1999999999998</v>
      </c>
      <c r="F29" s="179"/>
      <c r="G29" s="181"/>
      <c r="H29" s="182"/>
      <c r="I29">
        <v>2140.1999999999998</v>
      </c>
      <c r="J29" s="88">
        <f t="shared" si="4"/>
        <v>10.700000000000001</v>
      </c>
      <c r="K29" s="88">
        <f t="shared" si="5"/>
        <v>-10.700000000000001</v>
      </c>
    </row>
    <row r="30" spans="1:12" ht="15.6" customHeight="1">
      <c r="B30" s="74">
        <v>2568</v>
      </c>
      <c r="C30" s="74">
        <v>2568.3000000000002</v>
      </c>
      <c r="D30" s="74">
        <v>2568.3000000000002</v>
      </c>
      <c r="E30" s="74">
        <v>2568.3000000000002</v>
      </c>
      <c r="F30" s="179"/>
      <c r="G30" s="181"/>
      <c r="H30" s="182"/>
      <c r="I30">
        <v>2568.3000000000002</v>
      </c>
      <c r="J30" s="88">
        <f t="shared" si="4"/>
        <v>12.84</v>
      </c>
      <c r="K30" s="88">
        <f t="shared" si="5"/>
        <v>-12.84</v>
      </c>
    </row>
    <row r="31" spans="1:12" ht="15.6" customHeight="1">
      <c r="B31" s="74">
        <v>3000</v>
      </c>
      <c r="C31" s="74">
        <v>3000.6</v>
      </c>
      <c r="D31" s="74">
        <v>3000.6</v>
      </c>
      <c r="E31" s="74">
        <v>3000.5</v>
      </c>
      <c r="F31" s="179"/>
      <c r="G31" s="181"/>
      <c r="H31" s="182"/>
      <c r="I31">
        <v>3000.4</v>
      </c>
      <c r="J31" s="88">
        <f t="shared" si="4"/>
        <v>15</v>
      </c>
      <c r="K31" s="88">
        <f t="shared" si="5"/>
        <v>-15</v>
      </c>
    </row>
    <row r="32" spans="1:12" ht="45.75">
      <c r="B32" s="91" t="s">
        <v>178</v>
      </c>
      <c r="C32" s="49" t="s">
        <v>179</v>
      </c>
      <c r="D32" s="49" t="s">
        <v>180</v>
      </c>
      <c r="E32" s="85" t="s">
        <v>181</v>
      </c>
      <c r="F32" s="179"/>
      <c r="G32" s="86" t="s">
        <v>182</v>
      </c>
      <c r="H32" s="49" t="s">
        <v>183</v>
      </c>
    </row>
    <row r="33" spans="2:13" ht="15.6" customHeight="1">
      <c r="B33" s="74">
        <f>IF(AND(B24&gt;=15,B24&lt;=70),1,IF(AND(B24&gt;70,B24&lt;=300),B24*0.015,IF(AND(B24&gt;300,B24&lt;=1000),6,IF(AND(B24&gt;1000),B24*0.005,1))))</f>
        <v>1</v>
      </c>
      <c r="C33" s="74">
        <f>C24-B24</f>
        <v>0</v>
      </c>
      <c r="D33" s="74">
        <f>D24-B24</f>
        <v>0</v>
      </c>
      <c r="E33" s="87">
        <f>IF(E24="","",E24-B24)</f>
        <v>0</v>
      </c>
      <c r="F33" s="179"/>
      <c r="G33" s="92">
        <f>C33-D33</f>
        <v>0</v>
      </c>
      <c r="H33" s="88">
        <f t="shared" ref="H33:H40" si="6">C33-E33</f>
        <v>0</v>
      </c>
    </row>
    <row r="34" spans="2:13" ht="15.6" customHeight="1">
      <c r="B34" s="74">
        <f t="shared" ref="B34:B40" si="7">IF(AND(B25&gt;=15,B25&lt;=70),1,IF(AND(B25&gt;70,B25&lt;=300),B25*0.015,IF(AND(B25&gt;300,B25&lt;=1000),6,IF(AND(B25&gt;1000),B25*0.005,1))))</f>
        <v>6</v>
      </c>
      <c r="C34" s="74">
        <f t="shared" ref="C34:C40" si="8">C25-B25</f>
        <v>-0.10000000000002274</v>
      </c>
      <c r="D34" s="74">
        <f t="shared" ref="D34:D40" si="9">D25-B25</f>
        <v>-0.10000000000002274</v>
      </c>
      <c r="E34" s="87">
        <f t="shared" ref="E34:E40" si="10">IF(E25="","",E25-B25)</f>
        <v>-0.10000000000002274</v>
      </c>
      <c r="F34" s="179"/>
      <c r="G34" s="92">
        <f>C34-D34</f>
        <v>0</v>
      </c>
      <c r="H34" s="88">
        <f t="shared" si="6"/>
        <v>0</v>
      </c>
    </row>
    <row r="35" spans="2:13" ht="15.6" customHeight="1">
      <c r="B35" s="74">
        <f t="shared" si="7"/>
        <v>6</v>
      </c>
      <c r="C35" s="74">
        <f t="shared" si="8"/>
        <v>-0.10000000000002274</v>
      </c>
      <c r="D35" s="74">
        <f t="shared" si="9"/>
        <v>-0.10000000000002274</v>
      </c>
      <c r="E35" s="87">
        <f t="shared" si="10"/>
        <v>0</v>
      </c>
      <c r="F35" s="179"/>
      <c r="G35" s="92">
        <f t="shared" ref="G35:G40" si="11">C35-D35</f>
        <v>0</v>
      </c>
      <c r="H35" s="88">
        <f t="shared" si="6"/>
        <v>-0.10000000000002274</v>
      </c>
    </row>
    <row r="36" spans="2:13" ht="15.6" customHeight="1">
      <c r="B36" s="74">
        <f t="shared" si="7"/>
        <v>6.42</v>
      </c>
      <c r="C36" s="74">
        <f t="shared" si="8"/>
        <v>9.9999999999909051E-2</v>
      </c>
      <c r="D36" s="74">
        <f t="shared" si="9"/>
        <v>9.9999999999909051E-2</v>
      </c>
      <c r="E36" s="87">
        <f t="shared" si="10"/>
        <v>9.9999999999909051E-2</v>
      </c>
      <c r="F36" s="179"/>
      <c r="G36" s="92">
        <f t="shared" si="11"/>
        <v>0</v>
      </c>
      <c r="H36" s="88">
        <f t="shared" si="6"/>
        <v>0</v>
      </c>
    </row>
    <row r="37" spans="2:13" ht="15.6" customHeight="1">
      <c r="B37" s="74">
        <f t="shared" si="7"/>
        <v>8.56</v>
      </c>
      <c r="C37" s="74">
        <f t="shared" si="8"/>
        <v>9.9999999999909051E-2</v>
      </c>
      <c r="D37" s="74">
        <f t="shared" si="9"/>
        <v>9.9999999999909051E-2</v>
      </c>
      <c r="E37" s="87">
        <f t="shared" si="10"/>
        <v>0.20000000000004547</v>
      </c>
      <c r="F37" s="179"/>
      <c r="G37" s="92">
        <f t="shared" si="11"/>
        <v>0</v>
      </c>
      <c r="H37" s="88">
        <f t="shared" si="6"/>
        <v>-0.10000000000013642</v>
      </c>
    </row>
    <row r="38" spans="2:13" ht="15.6" customHeight="1">
      <c r="B38" s="74">
        <f t="shared" si="7"/>
        <v>10.700000000000001</v>
      </c>
      <c r="C38" s="74">
        <f t="shared" si="8"/>
        <v>0.1999999999998181</v>
      </c>
      <c r="D38" s="74">
        <f t="shared" si="9"/>
        <v>0.1999999999998181</v>
      </c>
      <c r="E38" s="87">
        <f t="shared" si="10"/>
        <v>0.1999999999998181</v>
      </c>
      <c r="F38" s="179"/>
      <c r="G38" s="92">
        <f t="shared" si="11"/>
        <v>0</v>
      </c>
      <c r="H38" s="88">
        <f t="shared" si="6"/>
        <v>0</v>
      </c>
    </row>
    <row r="39" spans="2:13" ht="15.6" customHeight="1">
      <c r="B39" s="74">
        <f t="shared" si="7"/>
        <v>12.84</v>
      </c>
      <c r="C39" s="74">
        <f t="shared" si="8"/>
        <v>0.3000000000001819</v>
      </c>
      <c r="D39" s="74">
        <f t="shared" si="9"/>
        <v>0.3000000000001819</v>
      </c>
      <c r="E39" s="87">
        <f t="shared" si="10"/>
        <v>0.3000000000001819</v>
      </c>
      <c r="F39" s="179"/>
      <c r="G39" s="92">
        <f t="shared" si="11"/>
        <v>0</v>
      </c>
      <c r="H39" s="88">
        <f t="shared" si="6"/>
        <v>0</v>
      </c>
    </row>
    <row r="40" spans="2:13" ht="15.6" customHeight="1">
      <c r="B40" s="74">
        <f t="shared" si="7"/>
        <v>15</v>
      </c>
      <c r="C40" s="74">
        <f t="shared" si="8"/>
        <v>0.59999999999990905</v>
      </c>
      <c r="D40" s="74">
        <f t="shared" si="9"/>
        <v>0.59999999999990905</v>
      </c>
      <c r="E40" s="87">
        <f t="shared" si="10"/>
        <v>0.5</v>
      </c>
      <c r="F40" s="180"/>
      <c r="G40" s="92">
        <f t="shared" si="11"/>
        <v>0</v>
      </c>
      <c r="H40" s="88">
        <f t="shared" si="6"/>
        <v>9.9999999999909051E-2</v>
      </c>
    </row>
    <row r="42" spans="2:13">
      <c r="L42" s="57"/>
      <c r="M42" s="57"/>
    </row>
  </sheetData>
  <mergeCells count="11">
    <mergeCell ref="I3:I4"/>
    <mergeCell ref="B6:I6"/>
    <mergeCell ref="B7:I7"/>
    <mergeCell ref="G9:G18"/>
    <mergeCell ref="H13:I18"/>
    <mergeCell ref="B20:H20"/>
    <mergeCell ref="F23:F40"/>
    <mergeCell ref="G24:G31"/>
    <mergeCell ref="H24:H31"/>
    <mergeCell ref="G3:G4"/>
    <mergeCell ref="H3:H4"/>
  </mergeCells>
  <conditionalFormatting sqref="O8">
    <cfRule type="expression" dxfId="31" priority="1">
      <formula>" "</formula>
    </cfRule>
    <cfRule type="containsText" dxfId="30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4DD7-114B-4A95-B288-0660737ECCDB}">
  <dimension ref="A2:L73"/>
  <sheetViews>
    <sheetView topLeftCell="A18" zoomScale="83" zoomScaleNormal="83" workbookViewId="0">
      <selection activeCell="F5" sqref="F5"/>
    </sheetView>
  </sheetViews>
  <sheetFormatPr defaultColWidth="11.42578125" defaultRowHeight="15"/>
  <cols>
    <col min="1" max="1" width="3.28515625" customWidth="1"/>
    <col min="2" max="2" width="17.28515625" customWidth="1"/>
    <col min="3" max="4" width="18.28515625" bestFit="1" customWidth="1"/>
    <col min="5" max="6" width="17.28515625" customWidth="1"/>
    <col min="7" max="7" width="17.7109375" customWidth="1"/>
    <col min="8" max="9" width="17.28515625" customWidth="1"/>
    <col min="10" max="10" width="15.5703125" customWidth="1"/>
    <col min="11" max="11" width="11.5703125" bestFit="1" customWidth="1"/>
    <col min="12" max="12" width="12.5703125" customWidth="1"/>
  </cols>
  <sheetData>
    <row r="2" spans="1:12" ht="48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186</v>
      </c>
      <c r="I2" s="49" t="s">
        <v>187</v>
      </c>
      <c r="J2" s="56"/>
    </row>
    <row r="3" spans="1:12" ht="21.6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93">
        <f>F4+5</f>
        <v>45906</v>
      </c>
      <c r="H3" s="193">
        <f ca="1">IF(TODAY()-$F$3&lt;=340,$F$4+120,"ERROR, CALIBRE EL PATRÓN")</f>
        <v>46021</v>
      </c>
      <c r="I3" s="193">
        <f ca="1">IF(TODAY()-$F$3&lt;=340,$F$4+240,"ERROR, CALIBRE EL PATRÓN")</f>
        <v>46141</v>
      </c>
      <c r="J3" s="39"/>
    </row>
    <row r="4" spans="1:12" ht="28.9" customHeight="1">
      <c r="B4" s="58" t="s">
        <v>165</v>
      </c>
      <c r="C4" s="42" t="s">
        <v>106</v>
      </c>
      <c r="D4" s="42" t="s">
        <v>107</v>
      </c>
      <c r="E4" s="93" t="s">
        <v>108</v>
      </c>
      <c r="F4" s="50">
        <f>'CONTROL CALIBRACIONES'!G32</f>
        <v>45901</v>
      </c>
      <c r="G4" s="194"/>
      <c r="H4" s="194"/>
      <c r="I4" s="194"/>
      <c r="J4" s="39"/>
    </row>
    <row r="6" spans="1:12" s="51" customFormat="1" ht="28.9" customHeight="1">
      <c r="B6" s="171" t="s">
        <v>148</v>
      </c>
      <c r="C6" s="171"/>
      <c r="D6" s="171"/>
      <c r="E6" s="171"/>
      <c r="F6" s="171"/>
      <c r="G6" s="171"/>
      <c r="H6" s="171"/>
      <c r="I6" s="171"/>
      <c r="J6" s="71"/>
    </row>
    <row r="7" spans="1:12" s="51" customFormat="1" ht="3.6" customHeight="1">
      <c r="B7" s="195"/>
      <c r="C7" s="196"/>
      <c r="D7" s="196"/>
      <c r="E7" s="196"/>
      <c r="F7" s="196"/>
      <c r="G7" s="196"/>
      <c r="H7" s="196"/>
      <c r="I7" s="197"/>
    </row>
    <row r="8" spans="1:12" s="51" customFormat="1" ht="31.9" customHeight="1">
      <c r="B8" s="49" t="s">
        <v>149</v>
      </c>
      <c r="C8" s="49" t="s">
        <v>150</v>
      </c>
      <c r="D8" s="49" t="s">
        <v>188</v>
      </c>
      <c r="E8" s="49" t="s">
        <v>152</v>
      </c>
      <c r="F8" s="49" t="s">
        <v>189</v>
      </c>
      <c r="G8" s="49" t="s">
        <v>154</v>
      </c>
      <c r="H8" s="58" t="s">
        <v>166</v>
      </c>
      <c r="I8" s="42">
        <v>20.3</v>
      </c>
      <c r="K8" s="76" t="s">
        <v>155</v>
      </c>
      <c r="L8" s="42" t="s">
        <v>156</v>
      </c>
    </row>
    <row r="9" spans="1:12" s="51" customFormat="1" ht="28.9" customHeight="1">
      <c r="A9" s="51">
        <v>1</v>
      </c>
      <c r="B9" s="44">
        <v>0</v>
      </c>
      <c r="C9" s="44">
        <v>0</v>
      </c>
      <c r="D9" s="44">
        <f>B9-C9</f>
        <v>0</v>
      </c>
      <c r="E9" s="60">
        <v>6.4000000000000003E-3</v>
      </c>
      <c r="F9" s="44">
        <v>0.1</v>
      </c>
      <c r="G9" s="182" t="str">
        <f>IF(AND(ABS(D9)&lt;F9,ABS(D10)&lt;F10,ABS(D11)&lt;F11,ABS(D12)&lt;F12,ABS(D13)&lt;F13,ABS(D14)&lt;F14,ABS(D15)&lt;F15,ABS(D16)&lt;F16,ABS(D17)&lt;F17,ABS(D18)&lt;F18,ABS(D19)&lt;F19),"EQUIPO CUMPLE ESPECIFICACIÓN","EQUIPO NO CUMPLE ESPECIFICACIÓN")</f>
        <v>EQUIPO CUMPLE ESPECIFICACIÓN</v>
      </c>
      <c r="H9" s="58" t="s">
        <v>157</v>
      </c>
      <c r="I9" s="42">
        <v>747</v>
      </c>
      <c r="K9" s="42">
        <f>F9</f>
        <v>0.1</v>
      </c>
      <c r="L9" s="42">
        <f>-F9</f>
        <v>-0.1</v>
      </c>
    </row>
    <row r="10" spans="1:12" s="51" customFormat="1" ht="28.9" customHeight="1">
      <c r="A10" s="51">
        <v>2</v>
      </c>
      <c r="B10" s="44">
        <v>15</v>
      </c>
      <c r="C10" s="44">
        <v>14.8697</v>
      </c>
      <c r="D10" s="44">
        <f t="shared" ref="D10:D19" si="0">B10-C10</f>
        <v>0.13030000000000008</v>
      </c>
      <c r="E10" s="60">
        <v>6.4000000000000003E-3</v>
      </c>
      <c r="F10" s="44">
        <f>IF(AND(B10&gt;=15,B10&lt;=70),2,IF(AND(B10&gt;70,B10&lt;=300),B10*0.03,IF(AND(B10&gt;300,B10&lt;=1000),12,IF(AND(B10&gt;1000),B10*0.01,"Revisar"))))</f>
        <v>2</v>
      </c>
      <c r="G10" s="182"/>
      <c r="H10" s="58" t="s">
        <v>158</v>
      </c>
      <c r="I10" s="102">
        <v>0.65200000000000002</v>
      </c>
      <c r="K10" s="42">
        <f t="shared" ref="K10:K19" si="1">F10</f>
        <v>2</v>
      </c>
      <c r="L10" s="42">
        <f t="shared" ref="L10:L19" si="2">-F10</f>
        <v>-2</v>
      </c>
    </row>
    <row r="11" spans="1:12" s="51" customFormat="1" ht="28.9" customHeight="1">
      <c r="A11" s="51">
        <v>3</v>
      </c>
      <c r="B11" s="44">
        <v>70</v>
      </c>
      <c r="C11" s="44">
        <v>69.829700000000003</v>
      </c>
      <c r="D11" s="44">
        <f t="shared" si="0"/>
        <v>0.17029999999999745</v>
      </c>
      <c r="E11" s="60">
        <v>7.3000000000000001E-3</v>
      </c>
      <c r="F11" s="44">
        <f t="shared" ref="F11:F18" si="3">IF(AND(B11&gt;=15,B11&lt;=70),2,IF(AND(B11&gt;70,B11&lt;=300),B11*0.03,IF(AND(B11&gt;300,B11&lt;=1000),12,IF(AND(B11&gt;1000),B11*0.01,"Revisar"))))</f>
        <v>2</v>
      </c>
      <c r="G11" s="182"/>
      <c r="H11" s="58" t="s">
        <v>159</v>
      </c>
      <c r="I11" s="42" t="s">
        <v>167</v>
      </c>
      <c r="K11" s="42">
        <f t="shared" si="1"/>
        <v>2</v>
      </c>
      <c r="L11" s="42">
        <f t="shared" si="2"/>
        <v>-2</v>
      </c>
    </row>
    <row r="12" spans="1:12" s="51" customFormat="1" ht="28.9" customHeight="1">
      <c r="A12" s="51">
        <v>4</v>
      </c>
      <c r="B12" s="44">
        <v>108</v>
      </c>
      <c r="C12" s="44">
        <v>107.8197</v>
      </c>
      <c r="D12" s="44">
        <f t="shared" si="0"/>
        <v>0.18030000000000257</v>
      </c>
      <c r="E12" s="60">
        <v>8.6E-3</v>
      </c>
      <c r="F12" s="44">
        <f t="shared" si="3"/>
        <v>3.2399999999999998</v>
      </c>
      <c r="G12" s="182"/>
      <c r="H12" s="58" t="s">
        <v>146</v>
      </c>
      <c r="I12" s="50">
        <f>F4</f>
        <v>45901</v>
      </c>
      <c r="K12" s="42">
        <f t="shared" si="1"/>
        <v>3.2399999999999998</v>
      </c>
      <c r="L12" s="42">
        <f t="shared" si="2"/>
        <v>-3.2399999999999998</v>
      </c>
    </row>
    <row r="13" spans="1:12" s="51" customFormat="1" ht="21.6" customHeight="1">
      <c r="A13" s="51">
        <v>5</v>
      </c>
      <c r="B13" s="44">
        <v>216</v>
      </c>
      <c r="C13" s="44">
        <v>215.84</v>
      </c>
      <c r="D13" s="44">
        <f t="shared" si="0"/>
        <v>0.15999999999999659</v>
      </c>
      <c r="E13" s="60">
        <v>1.7000000000000001E-2</v>
      </c>
      <c r="F13" s="44">
        <f t="shared" si="3"/>
        <v>6.4799999999999995</v>
      </c>
      <c r="G13" s="182"/>
      <c r="H13" s="187" t="s">
        <v>161</v>
      </c>
      <c r="I13" s="188"/>
      <c r="K13" s="42">
        <f t="shared" si="1"/>
        <v>6.4799999999999995</v>
      </c>
      <c r="L13" s="42">
        <f t="shared" si="2"/>
        <v>-6.4799999999999995</v>
      </c>
    </row>
    <row r="14" spans="1:12" s="51" customFormat="1" ht="21.6" customHeight="1">
      <c r="A14" s="51">
        <v>6</v>
      </c>
      <c r="B14" s="44">
        <v>324</v>
      </c>
      <c r="C14" s="44">
        <v>323.87</v>
      </c>
      <c r="D14" s="44">
        <f t="shared" si="0"/>
        <v>0.12999999999999545</v>
      </c>
      <c r="E14" s="60">
        <v>2.5999999999999999E-2</v>
      </c>
      <c r="F14" s="44">
        <f t="shared" si="3"/>
        <v>12</v>
      </c>
      <c r="G14" s="182"/>
      <c r="H14" s="189"/>
      <c r="I14" s="190"/>
      <c r="K14" s="42">
        <f t="shared" si="1"/>
        <v>12</v>
      </c>
      <c r="L14" s="42">
        <f t="shared" si="2"/>
        <v>-12</v>
      </c>
    </row>
    <row r="15" spans="1:12" s="51" customFormat="1" ht="21.6" customHeight="1">
      <c r="A15" s="51">
        <v>7</v>
      </c>
      <c r="B15" s="44">
        <v>432</v>
      </c>
      <c r="C15" s="58">
        <v>431.75</v>
      </c>
      <c r="D15" s="44">
        <f t="shared" si="0"/>
        <v>0.25</v>
      </c>
      <c r="E15" s="60">
        <v>3.5000000000000003E-2</v>
      </c>
      <c r="F15" s="44">
        <f t="shared" si="3"/>
        <v>12</v>
      </c>
      <c r="G15" s="182"/>
      <c r="H15" s="189"/>
      <c r="I15" s="190"/>
      <c r="K15" s="42">
        <f t="shared" si="1"/>
        <v>12</v>
      </c>
      <c r="L15" s="42">
        <f t="shared" si="2"/>
        <v>-12</v>
      </c>
    </row>
    <row r="16" spans="1:12" s="51" customFormat="1" ht="21.6" customHeight="1">
      <c r="A16" s="51">
        <v>8</v>
      </c>
      <c r="B16" s="44">
        <v>540</v>
      </c>
      <c r="C16" s="44">
        <v>539.63</v>
      </c>
      <c r="D16" s="44">
        <f t="shared" si="0"/>
        <v>0.37000000000000455</v>
      </c>
      <c r="E16" s="60">
        <v>4.2999999999999997E-2</v>
      </c>
      <c r="F16" s="44">
        <f t="shared" si="3"/>
        <v>12</v>
      </c>
      <c r="G16" s="182"/>
      <c r="H16" s="189"/>
      <c r="I16" s="190"/>
      <c r="K16" s="42">
        <f t="shared" si="1"/>
        <v>12</v>
      </c>
      <c r="L16" s="42">
        <f t="shared" si="2"/>
        <v>-12</v>
      </c>
    </row>
    <row r="17" spans="1:12" s="51" customFormat="1" ht="21.6" customHeight="1">
      <c r="A17" s="51">
        <v>9</v>
      </c>
      <c r="B17" s="44">
        <v>648</v>
      </c>
      <c r="C17" s="44">
        <v>647.22</v>
      </c>
      <c r="D17" s="44">
        <f t="shared" si="0"/>
        <v>0.77999999999997272</v>
      </c>
      <c r="E17" s="60">
        <v>5.1999999999999998E-2</v>
      </c>
      <c r="F17" s="44">
        <f t="shared" si="3"/>
        <v>12</v>
      </c>
      <c r="G17" s="182"/>
      <c r="H17" s="189"/>
      <c r="I17" s="190"/>
      <c r="K17" s="42">
        <f t="shared" si="1"/>
        <v>12</v>
      </c>
      <c r="L17" s="42">
        <f t="shared" si="2"/>
        <v>-12</v>
      </c>
    </row>
    <row r="18" spans="1:12" s="51" customFormat="1" ht="21.6" customHeight="1">
      <c r="A18" s="51">
        <v>10</v>
      </c>
      <c r="B18" s="44">
        <v>756</v>
      </c>
      <c r="C18" s="44">
        <v>754.66</v>
      </c>
      <c r="D18" s="44">
        <f t="shared" si="0"/>
        <v>1.3400000000000318</v>
      </c>
      <c r="E18" s="60">
        <v>0.06</v>
      </c>
      <c r="F18" s="44">
        <f t="shared" si="3"/>
        <v>12</v>
      </c>
      <c r="G18" s="182"/>
      <c r="H18" s="189"/>
      <c r="I18" s="190"/>
      <c r="K18" s="42">
        <f t="shared" si="1"/>
        <v>12</v>
      </c>
      <c r="L18" s="42">
        <f t="shared" si="2"/>
        <v>-12</v>
      </c>
    </row>
    <row r="19" spans="1:12" s="51" customFormat="1" ht="21.6" customHeight="1">
      <c r="A19" s="51">
        <v>11</v>
      </c>
      <c r="B19" s="44">
        <v>870</v>
      </c>
      <c r="C19" s="44">
        <v>868.05</v>
      </c>
      <c r="D19" s="44">
        <f t="shared" si="0"/>
        <v>1.9500000000000455</v>
      </c>
      <c r="E19" s="60">
        <v>7.0000000000000007E-2</v>
      </c>
      <c r="F19" s="44">
        <f>IF(AND(B19&gt;=15,B19&lt;=70),2,IF(AND(B19&gt;70,B19&lt;=300),B19*0.03,IF(AND(B19&gt;300,B19&lt;=1000),12,IF(AND(B19&gt;1000),B19*0.01,"Revisar"))))</f>
        <v>12</v>
      </c>
      <c r="G19" s="182"/>
      <c r="H19" s="191"/>
      <c r="I19" s="192"/>
      <c r="K19" s="42">
        <f t="shared" si="1"/>
        <v>12</v>
      </c>
      <c r="L19" s="42">
        <f t="shared" si="2"/>
        <v>-12</v>
      </c>
    </row>
    <row r="21" spans="1:12">
      <c r="B21" s="176" t="s">
        <v>168</v>
      </c>
      <c r="C21" s="177"/>
      <c r="D21" s="177"/>
      <c r="E21" s="177"/>
      <c r="F21" s="177"/>
      <c r="G21" s="177"/>
      <c r="H21" s="178"/>
      <c r="I21" s="71"/>
    </row>
    <row r="22" spans="1:12">
      <c r="B22" s="100" t="s">
        <v>169</v>
      </c>
      <c r="C22" s="79">
        <v>45911</v>
      </c>
      <c r="D22" s="79">
        <v>45924</v>
      </c>
      <c r="E22" s="78"/>
      <c r="F22" s="80"/>
      <c r="G22" s="81"/>
      <c r="H22" s="82"/>
      <c r="I22" s="51"/>
    </row>
    <row r="23" spans="1:12">
      <c r="B23" s="101" t="s">
        <v>170</v>
      </c>
      <c r="C23" s="72" t="s">
        <v>171</v>
      </c>
      <c r="D23" s="72" t="s">
        <v>171</v>
      </c>
      <c r="E23" s="72"/>
      <c r="F23" s="80"/>
      <c r="G23" s="83"/>
      <c r="H23" s="84"/>
      <c r="I23" s="51"/>
    </row>
    <row r="24" spans="1:12" ht="46.15" customHeight="1">
      <c r="B24" s="49" t="s">
        <v>149</v>
      </c>
      <c r="C24" s="49" t="s">
        <v>190</v>
      </c>
      <c r="D24" s="49" t="s">
        <v>173</v>
      </c>
      <c r="E24" s="85" t="s">
        <v>174</v>
      </c>
      <c r="F24" s="179"/>
      <c r="G24" s="86" t="s">
        <v>176</v>
      </c>
      <c r="H24" s="49" t="s">
        <v>177</v>
      </c>
      <c r="J24" s="76" t="s">
        <v>155</v>
      </c>
      <c r="K24" s="42" t="s">
        <v>156</v>
      </c>
    </row>
    <row r="25" spans="1:12" ht="15.6" customHeight="1">
      <c r="B25" s="74">
        <v>0</v>
      </c>
      <c r="C25" s="96">
        <v>0.01</v>
      </c>
      <c r="D25" s="96">
        <v>0</v>
      </c>
      <c r="E25" s="87"/>
      <c r="F25" s="179"/>
      <c r="G25" s="181" t="str">
        <f>IF(AND(ABS(G34)&lt;$B$34,ABS(G35)&lt;$B$35,ABS(G36)&lt;$B$36,ABS(G37)&lt;$B$37,ABS(G38)&lt;$B$38,ABS(G39)&lt;$B$39,ABS(G40)&lt;$B$40,ABS(G41)&lt;$B$41),"EQUIPO SE ENCUENTRA COMPROBADO","EQUIPO TIENE ALGUNA AFECTACIÓN, ENVIAR A REVISIÓN")</f>
        <v>EQUIPO SE ENCUENTRA COMPROBADO</v>
      </c>
      <c r="H25" s="182" t="e">
        <f>IF(AND(ABS(H34)&lt;$B$34,ABS(H35)&lt;$B$35,ABS(H36)&lt;$B$36,ABS(H37)&lt;$B$37,ABS(H38)&lt;$B$38,ABS(H39)&lt;$B$39,ABS(H40)&lt;$B$40,ABS(H41)&lt;$B$41),"EQUIPO SE ENCUENTRA COMPROBADO","EQUIPO TIENE ALGUNA AFECTACIÓN, ENVIAR A REVISIÓN")</f>
        <v>#VALUE!</v>
      </c>
      <c r="J25" s="88">
        <f t="shared" ref="J25:J32" si="4">B34</f>
        <v>1</v>
      </c>
      <c r="K25" s="88">
        <f t="shared" ref="K25:K32" si="5">-B34</f>
        <v>-1</v>
      </c>
    </row>
    <row r="26" spans="1:12" ht="15.6" customHeight="1">
      <c r="B26" s="74">
        <v>124</v>
      </c>
      <c r="C26" s="96">
        <v>123.85</v>
      </c>
      <c r="D26" s="96">
        <v>123.99</v>
      </c>
      <c r="E26" s="87"/>
      <c r="F26" s="179"/>
      <c r="G26" s="181"/>
      <c r="H26" s="182"/>
      <c r="J26" s="88">
        <f t="shared" si="4"/>
        <v>1.8599999999999999</v>
      </c>
      <c r="K26" s="88">
        <f t="shared" si="5"/>
        <v>-1.8599999999999999</v>
      </c>
    </row>
    <row r="27" spans="1:12" ht="15.6" customHeight="1">
      <c r="B27" s="74">
        <v>248</v>
      </c>
      <c r="C27" s="96">
        <v>247.93</v>
      </c>
      <c r="D27" s="96">
        <v>247.93</v>
      </c>
      <c r="E27" s="87"/>
      <c r="F27" s="179"/>
      <c r="G27" s="181"/>
      <c r="H27" s="182"/>
      <c r="J27" s="88">
        <f t="shared" si="4"/>
        <v>3.7199999999999998</v>
      </c>
      <c r="K27" s="88">
        <f t="shared" si="5"/>
        <v>-3.7199999999999998</v>
      </c>
    </row>
    <row r="28" spans="1:12" ht="15.6" customHeight="1">
      <c r="B28" s="74">
        <v>372</v>
      </c>
      <c r="C28" s="96">
        <v>371.75</v>
      </c>
      <c r="D28" s="96">
        <v>371.9</v>
      </c>
      <c r="E28" s="87"/>
      <c r="F28" s="179"/>
      <c r="G28" s="181"/>
      <c r="H28" s="182"/>
      <c r="J28" s="88">
        <f t="shared" si="4"/>
        <v>6</v>
      </c>
      <c r="K28" s="88">
        <f t="shared" si="5"/>
        <v>-6</v>
      </c>
    </row>
    <row r="29" spans="1:12" ht="15.6" customHeight="1">
      <c r="B29" s="74">
        <v>496</v>
      </c>
      <c r="C29" s="97">
        <v>495.59</v>
      </c>
      <c r="D29" s="97">
        <v>495.74</v>
      </c>
      <c r="E29" s="90"/>
      <c r="F29" s="179"/>
      <c r="G29" s="181"/>
      <c r="H29" s="182"/>
      <c r="J29" s="88">
        <f t="shared" si="4"/>
        <v>6</v>
      </c>
      <c r="K29" s="88">
        <f t="shared" si="5"/>
        <v>-6</v>
      </c>
    </row>
    <row r="30" spans="1:12" ht="15.6" customHeight="1">
      <c r="B30" s="74">
        <v>620</v>
      </c>
      <c r="C30" s="96">
        <v>619.79999999999995</v>
      </c>
      <c r="D30" s="96">
        <v>619.79999999999995</v>
      </c>
      <c r="E30" s="87"/>
      <c r="F30" s="179"/>
      <c r="G30" s="181"/>
      <c r="H30" s="182"/>
      <c r="J30" s="88">
        <f t="shared" si="4"/>
        <v>6</v>
      </c>
      <c r="K30" s="88">
        <f t="shared" si="5"/>
        <v>-6</v>
      </c>
    </row>
    <row r="31" spans="1:12" ht="15.6" customHeight="1">
      <c r="B31" s="74">
        <v>744</v>
      </c>
      <c r="C31" s="96">
        <v>743.91</v>
      </c>
      <c r="D31" s="96">
        <v>743.91</v>
      </c>
      <c r="E31" s="87"/>
      <c r="F31" s="179"/>
      <c r="G31" s="181"/>
      <c r="H31" s="182"/>
      <c r="J31" s="88">
        <f t="shared" si="4"/>
        <v>6</v>
      </c>
      <c r="K31" s="88">
        <f t="shared" si="5"/>
        <v>-6</v>
      </c>
    </row>
    <row r="32" spans="1:12" ht="15.6" customHeight="1">
      <c r="B32" s="74">
        <v>870</v>
      </c>
      <c r="C32" s="96">
        <v>869.75</v>
      </c>
      <c r="D32" s="96">
        <v>869.9</v>
      </c>
      <c r="E32" s="87"/>
      <c r="F32" s="179"/>
      <c r="G32" s="181"/>
      <c r="H32" s="182"/>
      <c r="J32" s="88">
        <f t="shared" si="4"/>
        <v>6</v>
      </c>
      <c r="K32" s="88">
        <f t="shared" si="5"/>
        <v>-6</v>
      </c>
    </row>
    <row r="33" spans="2:8" ht="45.75">
      <c r="B33" s="98" t="s">
        <v>178</v>
      </c>
      <c r="C33" s="49" t="s">
        <v>179</v>
      </c>
      <c r="D33" s="49" t="s">
        <v>180</v>
      </c>
      <c r="E33" s="85" t="s">
        <v>181</v>
      </c>
      <c r="F33" s="179"/>
      <c r="G33" s="86" t="s">
        <v>182</v>
      </c>
      <c r="H33" s="49" t="s">
        <v>183</v>
      </c>
    </row>
    <row r="34" spans="2:8" ht="15.6" customHeight="1">
      <c r="B34" s="74">
        <f>IF(AND(B25&gt;=15,B25&lt;=70),1,IF(AND(B25&gt;70,B25&lt;=300),B25*0.015,IF(AND(B25&gt;300,B25&lt;=1000),6,IF(AND(B25&gt;1000),B25*0.005,1))))</f>
        <v>1</v>
      </c>
      <c r="C34" s="96">
        <f>IF(C25="","",C25-B25)</f>
        <v>0.01</v>
      </c>
      <c r="D34" s="96">
        <f>IF(D25="","",D25-B25)</f>
        <v>0</v>
      </c>
      <c r="E34" s="74" t="str">
        <f>IF(E25="","",E25-B25)</f>
        <v/>
      </c>
      <c r="F34" s="179"/>
      <c r="G34" s="92">
        <f>C34-D34</f>
        <v>0.01</v>
      </c>
      <c r="H34" s="88" t="e">
        <f t="shared" ref="H34:H41" si="6">C34-E34</f>
        <v>#VALUE!</v>
      </c>
    </row>
    <row r="35" spans="2:8" ht="15.6" customHeight="1">
      <c r="B35" s="74">
        <f t="shared" ref="B35:B41" si="7">IF(AND(B26&gt;=15,B26&lt;=70),1,IF(AND(B26&gt;70,B26&lt;=300),B26*0.015,IF(AND(B26&gt;300,B26&lt;=1000),6,IF(AND(B26&gt;1000),B26*0.005,1))))</f>
        <v>1.8599999999999999</v>
      </c>
      <c r="C35" s="96">
        <f t="shared" ref="C35:C41" si="8">IF(C26="","",C26-B26)</f>
        <v>-0.15000000000000568</v>
      </c>
      <c r="D35" s="96">
        <f t="shared" ref="D35:D41" si="9">IF(D26="","",D26-B26)</f>
        <v>-1.0000000000005116E-2</v>
      </c>
      <c r="E35" s="74" t="str">
        <f t="shared" ref="E35:E41" si="10">IF(E26="","",E26-B26)</f>
        <v/>
      </c>
      <c r="F35" s="179"/>
      <c r="G35" s="92">
        <f>C35-D35</f>
        <v>-0.14000000000000057</v>
      </c>
      <c r="H35" s="88" t="e">
        <f t="shared" si="6"/>
        <v>#VALUE!</v>
      </c>
    </row>
    <row r="36" spans="2:8" ht="15.6" customHeight="1">
      <c r="B36" s="74">
        <f t="shared" si="7"/>
        <v>3.7199999999999998</v>
      </c>
      <c r="C36" s="96">
        <f t="shared" si="8"/>
        <v>-6.9999999999993179E-2</v>
      </c>
      <c r="D36" s="96">
        <f t="shared" si="9"/>
        <v>-6.9999999999993179E-2</v>
      </c>
      <c r="E36" s="74" t="str">
        <f t="shared" si="10"/>
        <v/>
      </c>
      <c r="F36" s="179"/>
      <c r="G36" s="92">
        <f t="shared" ref="G36:G41" si="11">C36-D36</f>
        <v>0</v>
      </c>
      <c r="H36" s="88" t="e">
        <f t="shared" si="6"/>
        <v>#VALUE!</v>
      </c>
    </row>
    <row r="37" spans="2:8" ht="15.6" customHeight="1">
      <c r="B37" s="74">
        <f t="shared" si="7"/>
        <v>6</v>
      </c>
      <c r="C37" s="96">
        <f t="shared" si="8"/>
        <v>-0.25</v>
      </c>
      <c r="D37" s="96">
        <f t="shared" si="9"/>
        <v>-0.10000000000002274</v>
      </c>
      <c r="E37" s="74" t="str">
        <f t="shared" si="10"/>
        <v/>
      </c>
      <c r="F37" s="179"/>
      <c r="G37" s="92">
        <f t="shared" si="11"/>
        <v>-0.14999999999997726</v>
      </c>
      <c r="H37" s="88" t="e">
        <f t="shared" si="6"/>
        <v>#VALUE!</v>
      </c>
    </row>
    <row r="38" spans="2:8" ht="15.6" customHeight="1">
      <c r="B38" s="74">
        <f t="shared" si="7"/>
        <v>6</v>
      </c>
      <c r="C38" s="96">
        <f t="shared" si="8"/>
        <v>-0.41000000000002501</v>
      </c>
      <c r="D38" s="96">
        <f t="shared" si="9"/>
        <v>-0.25999999999999091</v>
      </c>
      <c r="E38" s="74" t="str">
        <f t="shared" si="10"/>
        <v/>
      </c>
      <c r="F38" s="179"/>
      <c r="G38" s="92">
        <f t="shared" si="11"/>
        <v>-0.15000000000003411</v>
      </c>
      <c r="H38" s="88" t="e">
        <f t="shared" si="6"/>
        <v>#VALUE!</v>
      </c>
    </row>
    <row r="39" spans="2:8" ht="15.6" customHeight="1">
      <c r="B39" s="74">
        <f t="shared" si="7"/>
        <v>6</v>
      </c>
      <c r="C39" s="96">
        <f t="shared" si="8"/>
        <v>-0.20000000000004547</v>
      </c>
      <c r="D39" s="96">
        <f t="shared" si="9"/>
        <v>-0.20000000000004547</v>
      </c>
      <c r="E39" s="74" t="str">
        <f t="shared" si="10"/>
        <v/>
      </c>
      <c r="F39" s="179"/>
      <c r="G39" s="92">
        <f t="shared" si="11"/>
        <v>0</v>
      </c>
      <c r="H39" s="88" t="e">
        <f t="shared" si="6"/>
        <v>#VALUE!</v>
      </c>
    </row>
    <row r="40" spans="2:8" ht="15.6" customHeight="1">
      <c r="B40" s="74">
        <f t="shared" si="7"/>
        <v>6</v>
      </c>
      <c r="C40" s="96">
        <f t="shared" si="8"/>
        <v>-9.0000000000031832E-2</v>
      </c>
      <c r="D40" s="96">
        <f t="shared" si="9"/>
        <v>-9.0000000000031832E-2</v>
      </c>
      <c r="E40" s="74" t="str">
        <f t="shared" si="10"/>
        <v/>
      </c>
      <c r="F40" s="179"/>
      <c r="G40" s="92">
        <f t="shared" si="11"/>
        <v>0</v>
      </c>
      <c r="H40" s="88" t="e">
        <f t="shared" si="6"/>
        <v>#VALUE!</v>
      </c>
    </row>
    <row r="41" spans="2:8" ht="15.6" customHeight="1">
      <c r="B41" s="74">
        <f t="shared" si="7"/>
        <v>6</v>
      </c>
      <c r="C41" s="96">
        <f t="shared" si="8"/>
        <v>-0.25</v>
      </c>
      <c r="D41" s="96">
        <f t="shared" si="9"/>
        <v>-0.10000000000002274</v>
      </c>
      <c r="E41" s="74" t="str">
        <f t="shared" si="10"/>
        <v/>
      </c>
      <c r="F41" s="180"/>
      <c r="G41" s="92">
        <f t="shared" si="11"/>
        <v>-0.14999999999997726</v>
      </c>
      <c r="H41" s="88" t="e">
        <f t="shared" si="6"/>
        <v>#VALUE!</v>
      </c>
    </row>
    <row r="43" spans="2:8">
      <c r="B43" s="186" t="s">
        <v>191</v>
      </c>
      <c r="C43" s="186"/>
      <c r="D43" s="186"/>
      <c r="E43" s="186"/>
      <c r="F43" s="186"/>
    </row>
    <row r="44" spans="2:8">
      <c r="B44" s="185" t="s">
        <v>192</v>
      </c>
      <c r="C44" s="185"/>
      <c r="D44" s="185"/>
      <c r="E44" s="185"/>
      <c r="F44" s="185"/>
    </row>
    <row r="45" spans="2:8">
      <c r="B45" s="99" t="s">
        <v>193</v>
      </c>
      <c r="C45" s="99" t="s">
        <v>194</v>
      </c>
      <c r="D45" s="99" t="s">
        <v>195</v>
      </c>
      <c r="E45" s="99" t="s">
        <v>196</v>
      </c>
      <c r="F45" s="99" t="s">
        <v>197</v>
      </c>
    </row>
    <row r="46" spans="2:8">
      <c r="B46" s="103">
        <v>-0.03</v>
      </c>
      <c r="C46" s="103">
        <v>0.04</v>
      </c>
      <c r="D46" s="103">
        <v>0.04</v>
      </c>
      <c r="E46" s="103">
        <v>0.01</v>
      </c>
      <c r="F46" s="103">
        <v>0.01</v>
      </c>
    </row>
    <row r="47" spans="2:8">
      <c r="B47" s="103">
        <v>123.66</v>
      </c>
      <c r="C47" s="103">
        <v>0.19</v>
      </c>
      <c r="D47" s="103">
        <v>0.19</v>
      </c>
      <c r="E47" s="103">
        <v>123.85</v>
      </c>
      <c r="F47" s="103">
        <v>123.86</v>
      </c>
    </row>
    <row r="48" spans="2:8">
      <c r="B48" s="103">
        <v>247.78</v>
      </c>
      <c r="C48" s="103">
        <v>0.16</v>
      </c>
      <c r="D48" s="103">
        <v>0.16</v>
      </c>
      <c r="E48" s="103">
        <v>247.93</v>
      </c>
      <c r="F48" s="103">
        <v>247.94</v>
      </c>
    </row>
    <row r="49" spans="2:6">
      <c r="B49" s="103">
        <v>371.61</v>
      </c>
      <c r="C49" s="103">
        <v>0.15</v>
      </c>
      <c r="D49" s="103">
        <v>0.15</v>
      </c>
      <c r="E49" s="103">
        <v>371.75</v>
      </c>
      <c r="F49" s="103">
        <v>371.76</v>
      </c>
    </row>
    <row r="50" spans="2:6">
      <c r="B50" s="103">
        <v>495.29</v>
      </c>
      <c r="C50" s="103">
        <v>0.3</v>
      </c>
      <c r="D50" s="103">
        <v>0.3</v>
      </c>
      <c r="E50" s="103">
        <v>495.59</v>
      </c>
      <c r="F50" s="103">
        <v>495.59</v>
      </c>
    </row>
    <row r="51" spans="2:6">
      <c r="B51" s="103">
        <v>619.12</v>
      </c>
      <c r="C51" s="103">
        <v>0.68</v>
      </c>
      <c r="D51" s="103">
        <v>0.68</v>
      </c>
      <c r="E51" s="103">
        <v>619.79999999999995</v>
      </c>
      <c r="F51" s="103">
        <v>619.79999999999995</v>
      </c>
    </row>
    <row r="52" spans="2:6">
      <c r="B52" s="42">
        <v>742.66</v>
      </c>
      <c r="C52" s="42">
        <v>1.25</v>
      </c>
      <c r="D52" s="42">
        <v>1.25</v>
      </c>
      <c r="E52" s="42">
        <v>743.91</v>
      </c>
      <c r="F52" s="42">
        <v>743.91</v>
      </c>
    </row>
    <row r="53" spans="2:6">
      <c r="B53" s="42">
        <v>867.8</v>
      </c>
      <c r="C53" s="42">
        <v>1.95</v>
      </c>
      <c r="D53" s="42">
        <v>1.95</v>
      </c>
      <c r="E53" s="42">
        <v>869.75</v>
      </c>
      <c r="F53" s="42">
        <v>869.75</v>
      </c>
    </row>
    <row r="54" spans="2:6">
      <c r="B54" s="185" t="s">
        <v>198</v>
      </c>
      <c r="C54" s="185"/>
      <c r="D54" s="185"/>
      <c r="E54" s="185"/>
      <c r="F54" s="185"/>
    </row>
    <row r="55" spans="2:6">
      <c r="B55" s="99" t="s">
        <v>193</v>
      </c>
      <c r="C55" s="99" t="s">
        <v>194</v>
      </c>
      <c r="D55" s="99" t="s">
        <v>195</v>
      </c>
      <c r="E55" s="99" t="s">
        <v>196</v>
      </c>
      <c r="F55" s="99" t="s">
        <v>197</v>
      </c>
    </row>
    <row r="56" spans="2:6">
      <c r="B56" s="42">
        <v>-0.03</v>
      </c>
      <c r="C56" s="103">
        <v>0.04</v>
      </c>
      <c r="D56" s="103">
        <v>0.04</v>
      </c>
      <c r="E56" s="103">
        <v>0.01</v>
      </c>
      <c r="F56" s="103">
        <v>0.01</v>
      </c>
    </row>
    <row r="57" spans="2:6">
      <c r="B57" s="42">
        <v>123.8</v>
      </c>
      <c r="C57" s="103">
        <v>0.19</v>
      </c>
      <c r="D57" s="103">
        <v>0.19</v>
      </c>
      <c r="E57" s="103">
        <v>123.99</v>
      </c>
      <c r="F57" s="103">
        <v>123.99</v>
      </c>
    </row>
    <row r="58" spans="2:6">
      <c r="B58" s="42">
        <v>247.78</v>
      </c>
      <c r="C58" s="103">
        <v>0.16</v>
      </c>
      <c r="D58" s="103">
        <v>0.16</v>
      </c>
      <c r="E58" s="103">
        <v>247.93</v>
      </c>
      <c r="F58" s="103">
        <v>247.94</v>
      </c>
    </row>
    <row r="59" spans="2:6">
      <c r="B59" s="42">
        <v>371.75</v>
      </c>
      <c r="C59" s="103">
        <v>0.15</v>
      </c>
      <c r="D59" s="103">
        <v>0.15</v>
      </c>
      <c r="E59" s="103">
        <v>371.9</v>
      </c>
      <c r="F59" s="103">
        <v>371.9</v>
      </c>
    </row>
    <row r="60" spans="2:6">
      <c r="B60" s="42">
        <v>495.44</v>
      </c>
      <c r="C60" s="103">
        <v>0.3</v>
      </c>
      <c r="D60" s="103">
        <v>0.3</v>
      </c>
      <c r="E60" s="103">
        <v>495.74</v>
      </c>
      <c r="F60" s="103">
        <v>495.74</v>
      </c>
    </row>
    <row r="61" spans="2:6">
      <c r="B61" s="42">
        <v>619.12</v>
      </c>
      <c r="C61" s="103">
        <v>0.68</v>
      </c>
      <c r="D61" s="103">
        <v>0.68</v>
      </c>
      <c r="E61" s="103">
        <v>619.79999999999995</v>
      </c>
      <c r="F61" s="103">
        <v>619.79999999999995</v>
      </c>
    </row>
    <row r="62" spans="2:6">
      <c r="B62" s="42">
        <v>742.66</v>
      </c>
      <c r="C62" s="103">
        <v>1.25</v>
      </c>
      <c r="D62" s="103">
        <v>1.25</v>
      </c>
      <c r="E62" s="103">
        <v>743.91</v>
      </c>
      <c r="F62" s="103">
        <v>743.91</v>
      </c>
    </row>
    <row r="63" spans="2:6">
      <c r="B63" s="42">
        <v>867.94</v>
      </c>
      <c r="C63" s="103">
        <v>1.96</v>
      </c>
      <c r="D63" s="103">
        <v>1.96</v>
      </c>
      <c r="E63" s="103">
        <v>869.9</v>
      </c>
      <c r="F63" s="103">
        <v>869.9</v>
      </c>
    </row>
    <row r="64" spans="2:6">
      <c r="B64" s="185" t="s">
        <v>199</v>
      </c>
      <c r="C64" s="185"/>
      <c r="D64" s="185"/>
      <c r="E64" s="185"/>
      <c r="F64" s="185"/>
    </row>
    <row r="65" spans="2:6">
      <c r="B65" s="99" t="s">
        <v>193</v>
      </c>
      <c r="C65" s="99" t="s">
        <v>194</v>
      </c>
      <c r="D65" s="99" t="s">
        <v>195</v>
      </c>
      <c r="E65" s="99" t="s">
        <v>196</v>
      </c>
      <c r="F65" s="99" t="s">
        <v>197</v>
      </c>
    </row>
    <row r="66" spans="2:6">
      <c r="B66" s="42">
        <v>0</v>
      </c>
      <c r="C66" s="42">
        <v>0</v>
      </c>
      <c r="D66" s="42">
        <v>0</v>
      </c>
      <c r="E66" s="42">
        <v>0</v>
      </c>
      <c r="F66" s="42">
        <v>0</v>
      </c>
    </row>
    <row r="67" spans="2:6">
      <c r="B67" s="42">
        <v>0</v>
      </c>
      <c r="C67" s="42">
        <v>0</v>
      </c>
      <c r="D67" s="42">
        <v>0</v>
      </c>
      <c r="E67" s="42">
        <v>0</v>
      </c>
      <c r="F67" s="42">
        <v>0</v>
      </c>
    </row>
    <row r="68" spans="2:6">
      <c r="B68" s="42">
        <v>0</v>
      </c>
      <c r="C68" s="42">
        <v>0</v>
      </c>
      <c r="D68" s="42">
        <v>0</v>
      </c>
      <c r="E68" s="42">
        <v>0</v>
      </c>
      <c r="F68" s="42">
        <v>0</v>
      </c>
    </row>
    <row r="69" spans="2:6">
      <c r="B69" s="42">
        <v>0</v>
      </c>
      <c r="C69" s="42">
        <v>0</v>
      </c>
      <c r="D69" s="42">
        <v>0</v>
      </c>
      <c r="E69" s="42">
        <v>0</v>
      </c>
      <c r="F69" s="42">
        <v>0</v>
      </c>
    </row>
    <row r="70" spans="2:6">
      <c r="B70" s="42">
        <v>0</v>
      </c>
      <c r="C70" s="42">
        <v>0</v>
      </c>
      <c r="D70" s="42">
        <v>0</v>
      </c>
      <c r="E70" s="42">
        <v>0</v>
      </c>
      <c r="F70" s="42">
        <v>0</v>
      </c>
    </row>
    <row r="71" spans="2:6">
      <c r="B71" s="42">
        <v>0</v>
      </c>
      <c r="C71" s="42">
        <v>0</v>
      </c>
      <c r="D71" s="42">
        <v>0</v>
      </c>
      <c r="E71" s="42">
        <v>0</v>
      </c>
      <c r="F71" s="42">
        <v>0</v>
      </c>
    </row>
    <row r="72" spans="2:6">
      <c r="B72" s="42">
        <v>0</v>
      </c>
      <c r="C72" s="42">
        <v>0</v>
      </c>
      <c r="D72" s="42">
        <v>0</v>
      </c>
      <c r="E72" s="42">
        <v>0</v>
      </c>
      <c r="F72" s="42">
        <v>0</v>
      </c>
    </row>
    <row r="73" spans="2:6">
      <c r="B73" s="42">
        <v>0</v>
      </c>
      <c r="C73" s="42">
        <v>0</v>
      </c>
      <c r="D73" s="42">
        <v>0</v>
      </c>
      <c r="E73" s="42">
        <v>0</v>
      </c>
      <c r="F73" s="42">
        <v>0</v>
      </c>
    </row>
  </sheetData>
  <mergeCells count="15">
    <mergeCell ref="G9:G19"/>
    <mergeCell ref="H13:I19"/>
    <mergeCell ref="G3:G4"/>
    <mergeCell ref="H3:H4"/>
    <mergeCell ref="I3:I4"/>
    <mergeCell ref="B6:I6"/>
    <mergeCell ref="B7:I7"/>
    <mergeCell ref="B54:F54"/>
    <mergeCell ref="B64:F64"/>
    <mergeCell ref="B21:H21"/>
    <mergeCell ref="F24:F41"/>
    <mergeCell ref="G25:G32"/>
    <mergeCell ref="H25:H32"/>
    <mergeCell ref="B43:F43"/>
    <mergeCell ref="B44:F44"/>
  </mergeCells>
  <conditionalFormatting sqref="O8">
    <cfRule type="expression" dxfId="29" priority="1">
      <formula>" "</formula>
    </cfRule>
    <cfRule type="containsText" dxfId="28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EE51-3878-4636-B167-527037FB6503}">
  <dimension ref="A2:L74"/>
  <sheetViews>
    <sheetView topLeftCell="A22" zoomScale="83" zoomScaleNormal="83" workbookViewId="0">
      <selection activeCell="C24" sqref="C24"/>
    </sheetView>
  </sheetViews>
  <sheetFormatPr defaultColWidth="11.42578125" defaultRowHeight="15"/>
  <cols>
    <col min="1" max="1" width="3.28515625" customWidth="1"/>
    <col min="2" max="2" width="17.28515625" customWidth="1"/>
    <col min="3" max="3" width="19.28515625" bestFit="1" customWidth="1"/>
    <col min="4" max="4" width="18.28515625" bestFit="1" customWidth="1"/>
    <col min="5" max="6" width="17.28515625" customWidth="1"/>
    <col min="7" max="7" width="17.85546875" customWidth="1"/>
    <col min="8" max="9" width="17.28515625" customWidth="1"/>
    <col min="10" max="10" width="15.5703125" customWidth="1"/>
    <col min="11" max="11" width="11.5703125" bestFit="1" customWidth="1"/>
    <col min="12" max="12" width="12.5703125" customWidth="1"/>
  </cols>
  <sheetData>
    <row r="2" spans="1:12" ht="46.15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186</v>
      </c>
      <c r="I2" s="49" t="s">
        <v>187</v>
      </c>
      <c r="J2" s="56"/>
    </row>
    <row r="3" spans="1:12" ht="21.6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>F4+5</f>
        <v>45902</v>
      </c>
      <c r="H3" s="183">
        <f ca="1">IF(TODAY()-$F$3&lt;=340,$F$4+120,"ERROR, CALIBRE EL PATRÓN")</f>
        <v>46017</v>
      </c>
      <c r="I3" s="183">
        <f ca="1">IF(TODAY()-$F$3&lt;=340,$F$4+240,"ERROR, CALIBRE EL PATRÓN")</f>
        <v>46137</v>
      </c>
      <c r="J3" s="39"/>
    </row>
    <row r="4" spans="1:12" ht="28.15" customHeight="1">
      <c r="B4" s="58" t="s">
        <v>165</v>
      </c>
      <c r="C4" s="42" t="s">
        <v>106</v>
      </c>
      <c r="D4" s="42" t="s">
        <v>107</v>
      </c>
      <c r="E4" s="42">
        <v>20275210</v>
      </c>
      <c r="F4" s="50">
        <f>'CONTROL CALIBRACIONES'!G33</f>
        <v>45897</v>
      </c>
      <c r="G4" s="183"/>
      <c r="H4" s="183"/>
      <c r="I4" s="183"/>
      <c r="J4" s="39"/>
    </row>
    <row r="6" spans="1:12" s="51" customFormat="1" ht="29.45" customHeight="1">
      <c r="B6" s="203" t="s">
        <v>148</v>
      </c>
      <c r="C6" s="204"/>
      <c r="D6" s="204"/>
      <c r="E6" s="204"/>
      <c r="F6" s="204"/>
      <c r="G6" s="204"/>
      <c r="H6" s="204"/>
      <c r="I6" s="205"/>
      <c r="J6" s="71"/>
    </row>
    <row r="7" spans="1:12" s="51" customFormat="1" ht="3.6" customHeight="1">
      <c r="B7" s="206"/>
      <c r="C7" s="196"/>
      <c r="D7" s="196"/>
      <c r="E7" s="196"/>
      <c r="F7" s="196"/>
      <c r="G7" s="196"/>
      <c r="H7" s="196"/>
      <c r="I7" s="207"/>
    </row>
    <row r="8" spans="1:12" s="51" customFormat="1" ht="29.45" customHeight="1">
      <c r="B8" s="77" t="s">
        <v>149</v>
      </c>
      <c r="C8" s="49" t="s">
        <v>150</v>
      </c>
      <c r="D8" s="49" t="s">
        <v>188</v>
      </c>
      <c r="E8" s="49" t="s">
        <v>152</v>
      </c>
      <c r="F8" s="49" t="s">
        <v>153</v>
      </c>
      <c r="G8" s="49" t="s">
        <v>154</v>
      </c>
      <c r="H8" s="58" t="s">
        <v>166</v>
      </c>
      <c r="I8" s="61">
        <v>20.9</v>
      </c>
      <c r="K8" s="76" t="s">
        <v>155</v>
      </c>
      <c r="L8" s="42" t="s">
        <v>156</v>
      </c>
    </row>
    <row r="9" spans="1:12" s="51" customFormat="1" ht="29.45" customHeight="1">
      <c r="A9" s="51">
        <v>1</v>
      </c>
      <c r="B9" s="46">
        <v>0</v>
      </c>
      <c r="C9" s="44">
        <v>0</v>
      </c>
      <c r="D9" s="44">
        <f>B9-C9</f>
        <v>0</v>
      </c>
      <c r="E9" s="60">
        <v>8.3000000000000001E-3</v>
      </c>
      <c r="F9" s="44">
        <v>0.1</v>
      </c>
      <c r="G9" s="182" t="str">
        <f>IF(AND(ABS(D9)&lt;F9,ABS(D10)&lt;F10,ABS(D11)&lt;F11,ABS(D12)&lt;F12,ABS(D13)&lt;F13,ABS(D14)&lt;F14,ABS(D15)&lt;F15,ABS(D16)&lt;F16,ABS(D17)&lt;F17,ABS(D18)&lt;F18,ABS(D19)&lt;F19,ABS(D20)&lt;F20),"EQUIPO CUMPLE ESPECIFICACIÓN","EQUIPO NO CUMPLE ESPECIFICACIÓN")</f>
        <v>EQUIPO CUMPLE ESPECIFICACIÓN</v>
      </c>
      <c r="H9" s="58" t="s">
        <v>157</v>
      </c>
      <c r="I9" s="61">
        <v>747.8</v>
      </c>
      <c r="K9" s="42">
        <f>F9</f>
        <v>0.1</v>
      </c>
      <c r="L9" s="42">
        <f>-F9</f>
        <v>-0.1</v>
      </c>
    </row>
    <row r="10" spans="1:12" s="51" customFormat="1" ht="29.45" customHeight="1">
      <c r="A10" s="51">
        <v>2</v>
      </c>
      <c r="B10" s="46">
        <v>329</v>
      </c>
      <c r="C10" s="44">
        <v>324.36</v>
      </c>
      <c r="D10" s="44">
        <f t="shared" ref="D10:D20" si="0">B10-C10</f>
        <v>4.6399999999999864</v>
      </c>
      <c r="E10" s="60">
        <v>0.32</v>
      </c>
      <c r="F10" s="44">
        <f>IF(AND(B10&gt;=15,B10&lt;=70),2,IF(AND(B10&gt;70,B10&lt;=300),B10*0.03,IF(AND(B10&gt;300,B10&lt;=1000),12,IF(AND(B10&gt;1000),B10*0.01,"Revisar"))))</f>
        <v>12</v>
      </c>
      <c r="G10" s="182"/>
      <c r="H10" s="58" t="s">
        <v>158</v>
      </c>
      <c r="I10" s="94">
        <v>0.68899999999999995</v>
      </c>
      <c r="K10" s="42">
        <f t="shared" ref="K10:K20" si="1">F10</f>
        <v>12</v>
      </c>
      <c r="L10" s="42">
        <f t="shared" ref="L10:L20" si="2">-F10</f>
        <v>-12</v>
      </c>
    </row>
    <row r="11" spans="1:12" s="51" customFormat="1" ht="29.45" customHeight="1">
      <c r="A11" s="51">
        <v>3</v>
      </c>
      <c r="B11" s="46">
        <v>568</v>
      </c>
      <c r="C11" s="44">
        <v>560.51</v>
      </c>
      <c r="D11" s="44">
        <f t="shared" si="0"/>
        <v>7.4900000000000091</v>
      </c>
      <c r="E11" s="60">
        <v>0.26</v>
      </c>
      <c r="F11" s="44">
        <f t="shared" ref="F11:F20" si="3">IF(AND(B11&gt;=15,B11&lt;=70),2,IF(AND(B11&gt;70,B11&lt;=300),B11*0.03,IF(AND(B11&gt;300,B11&lt;=1000),12,IF(AND(B11&gt;1000),B11*0.01,"Revisar"))))</f>
        <v>12</v>
      </c>
      <c r="G11" s="182"/>
      <c r="H11" s="58" t="s">
        <v>159</v>
      </c>
      <c r="I11" s="61" t="s">
        <v>167</v>
      </c>
      <c r="K11" s="42">
        <f t="shared" si="1"/>
        <v>12</v>
      </c>
      <c r="L11" s="42">
        <f t="shared" si="2"/>
        <v>-12</v>
      </c>
    </row>
    <row r="12" spans="1:12" s="51" customFormat="1" ht="29.45" customHeight="1">
      <c r="A12" s="51">
        <v>4</v>
      </c>
      <c r="B12" s="46">
        <v>987</v>
      </c>
      <c r="C12" s="44">
        <v>976.94</v>
      </c>
      <c r="D12" s="44">
        <f t="shared" si="0"/>
        <v>10.059999999999945</v>
      </c>
      <c r="E12" s="60">
        <v>0.25</v>
      </c>
      <c r="F12" s="44">
        <f t="shared" si="3"/>
        <v>12</v>
      </c>
      <c r="G12" s="182"/>
      <c r="H12" s="58" t="s">
        <v>146</v>
      </c>
      <c r="I12" s="62">
        <f>F4</f>
        <v>45897</v>
      </c>
      <c r="K12" s="42">
        <f t="shared" si="1"/>
        <v>12</v>
      </c>
      <c r="L12" s="42">
        <f t="shared" si="2"/>
        <v>-12</v>
      </c>
    </row>
    <row r="13" spans="1:12" s="51" customFormat="1" ht="21.6" customHeight="1">
      <c r="A13" s="51">
        <v>5</v>
      </c>
      <c r="B13" s="46">
        <v>1316</v>
      </c>
      <c r="C13" s="44">
        <v>1304.56</v>
      </c>
      <c r="D13" s="44">
        <f t="shared" si="0"/>
        <v>11.440000000000055</v>
      </c>
      <c r="E13" s="60">
        <v>0.11</v>
      </c>
      <c r="F13" s="44">
        <f t="shared" si="3"/>
        <v>13.16</v>
      </c>
      <c r="G13" s="182"/>
      <c r="H13" s="187" t="s">
        <v>161</v>
      </c>
      <c r="I13" s="199"/>
      <c r="K13" s="42">
        <f t="shared" si="1"/>
        <v>13.16</v>
      </c>
      <c r="L13" s="42">
        <f t="shared" si="2"/>
        <v>-13.16</v>
      </c>
    </row>
    <row r="14" spans="1:12" s="51" customFormat="1" ht="21.6" customHeight="1">
      <c r="A14" s="51">
        <v>6</v>
      </c>
      <c r="B14" s="46">
        <v>1645</v>
      </c>
      <c r="C14" s="44">
        <v>1632.52</v>
      </c>
      <c r="D14" s="44">
        <f t="shared" si="0"/>
        <v>12.480000000000018</v>
      </c>
      <c r="E14" s="60">
        <v>0.18</v>
      </c>
      <c r="F14" s="44">
        <f t="shared" si="3"/>
        <v>16.45</v>
      </c>
      <c r="G14" s="182"/>
      <c r="H14" s="189"/>
      <c r="I14" s="200"/>
      <c r="K14" s="42">
        <f t="shared" si="1"/>
        <v>16.45</v>
      </c>
      <c r="L14" s="42">
        <f t="shared" si="2"/>
        <v>-16.45</v>
      </c>
    </row>
    <row r="15" spans="1:12" s="51" customFormat="1" ht="21.6" customHeight="1">
      <c r="A15" s="51">
        <v>7</v>
      </c>
      <c r="B15" s="46">
        <v>1974</v>
      </c>
      <c r="C15" s="58">
        <v>1961.72</v>
      </c>
      <c r="D15" s="44">
        <f t="shared" si="0"/>
        <v>12.279999999999973</v>
      </c>
      <c r="E15" s="60">
        <v>0.34</v>
      </c>
      <c r="F15" s="44">
        <f t="shared" si="3"/>
        <v>19.740000000000002</v>
      </c>
      <c r="G15" s="182"/>
      <c r="H15" s="189"/>
      <c r="I15" s="200"/>
      <c r="K15" s="42">
        <f t="shared" si="1"/>
        <v>19.740000000000002</v>
      </c>
      <c r="L15" s="42">
        <f t="shared" si="2"/>
        <v>-19.740000000000002</v>
      </c>
    </row>
    <row r="16" spans="1:12" s="51" customFormat="1" ht="21.6" customHeight="1">
      <c r="A16" s="51">
        <v>8</v>
      </c>
      <c r="B16" s="46">
        <v>2303</v>
      </c>
      <c r="C16" s="58">
        <v>2290.96</v>
      </c>
      <c r="D16" s="44">
        <f t="shared" si="0"/>
        <v>12.039999999999964</v>
      </c>
      <c r="E16" s="60">
        <v>0.24</v>
      </c>
      <c r="F16" s="44">
        <f t="shared" si="3"/>
        <v>23.03</v>
      </c>
      <c r="G16" s="182"/>
      <c r="H16" s="189"/>
      <c r="I16" s="200"/>
      <c r="K16" s="42">
        <f t="shared" si="1"/>
        <v>23.03</v>
      </c>
      <c r="L16" s="42">
        <f t="shared" si="2"/>
        <v>-23.03</v>
      </c>
    </row>
    <row r="17" spans="1:12" s="51" customFormat="1" ht="21.6" customHeight="1">
      <c r="A17" s="51">
        <v>9</v>
      </c>
      <c r="B17" s="46">
        <v>2632</v>
      </c>
      <c r="C17" s="44">
        <v>2620.4299999999998</v>
      </c>
      <c r="D17" s="44">
        <f t="shared" si="0"/>
        <v>11.570000000000164</v>
      </c>
      <c r="E17" s="60">
        <v>0.81</v>
      </c>
      <c r="F17" s="44">
        <f t="shared" si="3"/>
        <v>26.32</v>
      </c>
      <c r="G17" s="182"/>
      <c r="H17" s="189"/>
      <c r="I17" s="200"/>
      <c r="K17" s="42">
        <f t="shared" si="1"/>
        <v>26.32</v>
      </c>
      <c r="L17" s="42">
        <f t="shared" si="2"/>
        <v>-26.32</v>
      </c>
    </row>
    <row r="18" spans="1:12" s="51" customFormat="1" ht="21.6" customHeight="1">
      <c r="A18" s="51">
        <v>10</v>
      </c>
      <c r="B18" s="46">
        <v>2961</v>
      </c>
      <c r="C18" s="44">
        <v>2947.29</v>
      </c>
      <c r="D18" s="44">
        <f t="shared" si="0"/>
        <v>13.710000000000036</v>
      </c>
      <c r="E18" s="60">
        <v>0.26</v>
      </c>
      <c r="F18" s="44">
        <f t="shared" si="3"/>
        <v>29.61</v>
      </c>
      <c r="G18" s="182"/>
      <c r="H18" s="189"/>
      <c r="I18" s="200"/>
      <c r="K18" s="42">
        <f t="shared" si="1"/>
        <v>29.61</v>
      </c>
      <c r="L18" s="42">
        <f t="shared" si="2"/>
        <v>-29.61</v>
      </c>
    </row>
    <row r="19" spans="1:12" s="51" customFormat="1" ht="21.6" customHeight="1">
      <c r="A19" s="51">
        <v>11</v>
      </c>
      <c r="B19" s="46">
        <v>3290</v>
      </c>
      <c r="C19" s="44">
        <v>3276.58</v>
      </c>
      <c r="D19" s="44">
        <f t="shared" si="0"/>
        <v>13.420000000000073</v>
      </c>
      <c r="E19" s="60">
        <v>0.26</v>
      </c>
      <c r="F19" s="44">
        <f t="shared" si="3"/>
        <v>32.9</v>
      </c>
      <c r="G19" s="182"/>
      <c r="H19" s="189"/>
      <c r="I19" s="200"/>
      <c r="K19" s="42">
        <f t="shared" si="1"/>
        <v>32.9</v>
      </c>
      <c r="L19" s="42">
        <f t="shared" si="2"/>
        <v>-32.9</v>
      </c>
    </row>
    <row r="20" spans="1:12" s="51" customFormat="1" ht="21.6" customHeight="1">
      <c r="A20" s="51">
        <v>12</v>
      </c>
      <c r="B20" s="47">
        <v>3625</v>
      </c>
      <c r="C20" s="48">
        <v>3612.19</v>
      </c>
      <c r="D20" s="48">
        <f t="shared" si="0"/>
        <v>12.809999999999945</v>
      </c>
      <c r="E20" s="73">
        <v>0.51</v>
      </c>
      <c r="F20" s="44">
        <f t="shared" si="3"/>
        <v>36.25</v>
      </c>
      <c r="G20" s="198"/>
      <c r="H20" s="201"/>
      <c r="I20" s="202"/>
      <c r="K20" s="42">
        <f t="shared" si="1"/>
        <v>36.25</v>
      </c>
      <c r="L20" s="42">
        <f t="shared" si="2"/>
        <v>-36.25</v>
      </c>
    </row>
    <row r="22" spans="1:12">
      <c r="B22" s="176" t="s">
        <v>168</v>
      </c>
      <c r="C22" s="177"/>
      <c r="D22" s="177"/>
      <c r="E22" s="177"/>
      <c r="F22" s="177"/>
      <c r="G22" s="177"/>
      <c r="H22" s="178"/>
      <c r="I22" s="71"/>
    </row>
    <row r="23" spans="1:12">
      <c r="B23" s="100" t="s">
        <v>169</v>
      </c>
      <c r="C23" s="79">
        <v>45911</v>
      </c>
      <c r="D23" s="79">
        <v>45924</v>
      </c>
      <c r="E23" s="78"/>
      <c r="F23" s="80"/>
      <c r="G23" s="81"/>
      <c r="H23" s="82"/>
      <c r="I23" s="51"/>
    </row>
    <row r="24" spans="1:12">
      <c r="B24" s="101" t="s">
        <v>170</v>
      </c>
      <c r="C24" s="72" t="s">
        <v>172</v>
      </c>
      <c r="D24" s="72" t="s">
        <v>171</v>
      </c>
      <c r="E24" s="72"/>
      <c r="F24" s="80"/>
      <c r="G24" s="83"/>
      <c r="H24" s="84"/>
      <c r="I24" s="51"/>
    </row>
    <row r="25" spans="1:12" ht="46.15" customHeight="1">
      <c r="B25" s="49" t="s">
        <v>149</v>
      </c>
      <c r="C25" s="49" t="s">
        <v>190</v>
      </c>
      <c r="D25" s="49" t="s">
        <v>173</v>
      </c>
      <c r="E25" s="85" t="s">
        <v>174</v>
      </c>
      <c r="F25" s="179"/>
      <c r="G25" s="86" t="s">
        <v>176</v>
      </c>
      <c r="H25" s="49" t="s">
        <v>177</v>
      </c>
      <c r="J25" s="76" t="s">
        <v>155</v>
      </c>
      <c r="K25" s="42" t="s">
        <v>156</v>
      </c>
    </row>
    <row r="26" spans="1:12" ht="15.6" customHeight="1">
      <c r="B26" s="74">
        <v>0</v>
      </c>
      <c r="C26" s="96">
        <v>-0.03</v>
      </c>
      <c r="D26" s="96">
        <v>-0.03</v>
      </c>
      <c r="E26" s="87"/>
      <c r="F26" s="179"/>
      <c r="G26" s="181" t="str">
        <f>IF(AND(ABS(G35)&lt;$B$35,ABS(G36)&lt;$B$36,ABS(G37)&lt;$B$37,ABS(G38)&lt;$B$38,ABS(G39)&lt;$B$39,ABS(G40)&lt;$B$40,ABS(G41)&lt;$B$41,ABS(G42)&lt;$B$42),"EQUIPO SE ENCUENTRA COMPROBADO","EQUIPO TIENE ALGUNA AFECTACIÓN, ENVIAR A REVISIÓN")</f>
        <v>EQUIPO SE ENCUENTRA COMPROBADO</v>
      </c>
      <c r="H26" s="182" t="e">
        <f>IF(AND(ABS(H35)&lt;$B$35,ABS(H36)&lt;$B$36,ABS(H37)&lt;$B$37,ABS(H38)&lt;$B$38,ABS(H39)&lt;$B$39,ABS(H40)&lt;$B$40,ABS(H41)&lt;$B$41,ABS(H42)&lt;$B$42),"EQUIPO SE ENCUENTRA COMPROBADO","EQUIPO TIENE ALGUNA AFECTACIÓN, ENVIAR A REVISIÓN")</f>
        <v>#VALUE!</v>
      </c>
      <c r="J26" s="88">
        <f t="shared" ref="J26:J33" si="4">B35</f>
        <v>1</v>
      </c>
      <c r="K26" s="88">
        <f t="shared" ref="K26:K33" si="5">-B35</f>
        <v>-1</v>
      </c>
    </row>
    <row r="27" spans="1:12" ht="15.6" customHeight="1">
      <c r="B27" s="74">
        <v>428</v>
      </c>
      <c r="C27" s="96">
        <v>428.79</v>
      </c>
      <c r="D27" s="96">
        <v>428.18</v>
      </c>
      <c r="E27" s="87"/>
      <c r="F27" s="179"/>
      <c r="G27" s="181"/>
      <c r="H27" s="182"/>
      <c r="J27" s="88">
        <f t="shared" si="4"/>
        <v>6</v>
      </c>
      <c r="K27" s="88">
        <f t="shared" si="5"/>
        <v>-6</v>
      </c>
    </row>
    <row r="28" spans="1:12" ht="15.6" customHeight="1">
      <c r="B28" s="74">
        <v>856</v>
      </c>
      <c r="C28" s="96">
        <v>856.46</v>
      </c>
      <c r="D28" s="96">
        <v>856.43</v>
      </c>
      <c r="E28" s="87"/>
      <c r="F28" s="179"/>
      <c r="G28" s="181"/>
      <c r="H28" s="182"/>
      <c r="J28" s="88">
        <f t="shared" si="4"/>
        <v>6</v>
      </c>
      <c r="K28" s="88">
        <f t="shared" si="5"/>
        <v>-6</v>
      </c>
    </row>
    <row r="29" spans="1:12" ht="15.6" customHeight="1">
      <c r="B29" s="74">
        <v>1284</v>
      </c>
      <c r="C29" s="96">
        <v>1283.8800000000001</v>
      </c>
      <c r="D29" s="96">
        <v>1283.8800000000001</v>
      </c>
      <c r="E29" s="87"/>
      <c r="F29" s="179"/>
      <c r="G29" s="181"/>
      <c r="H29" s="182"/>
      <c r="J29" s="88">
        <f t="shared" si="4"/>
        <v>6.42</v>
      </c>
      <c r="K29" s="88">
        <f t="shared" si="5"/>
        <v>-6.42</v>
      </c>
    </row>
    <row r="30" spans="1:12" ht="15.6" customHeight="1">
      <c r="B30" s="74">
        <v>1712</v>
      </c>
      <c r="C30" s="97">
        <v>1711.76</v>
      </c>
      <c r="D30" s="97">
        <v>1711.16</v>
      </c>
      <c r="E30" s="90"/>
      <c r="F30" s="179"/>
      <c r="G30" s="181"/>
      <c r="H30" s="182"/>
      <c r="J30" s="88">
        <f t="shared" si="4"/>
        <v>8.56</v>
      </c>
      <c r="K30" s="88">
        <f t="shared" si="5"/>
        <v>-8.56</v>
      </c>
    </row>
    <row r="31" spans="1:12" ht="15.6" customHeight="1">
      <c r="B31" s="74">
        <v>2140</v>
      </c>
      <c r="C31" s="96">
        <v>2138.7600000000002</v>
      </c>
      <c r="D31" s="96">
        <v>2138.7600000000002</v>
      </c>
      <c r="E31" s="87"/>
      <c r="F31" s="179"/>
      <c r="G31" s="181"/>
      <c r="H31" s="182"/>
      <c r="J31" s="88">
        <f t="shared" si="4"/>
        <v>10.700000000000001</v>
      </c>
      <c r="K31" s="88">
        <f t="shared" si="5"/>
        <v>-10.700000000000001</v>
      </c>
    </row>
    <row r="32" spans="1:12" ht="15.6" customHeight="1">
      <c r="B32" s="74">
        <v>2568</v>
      </c>
      <c r="C32" s="96">
        <v>2565.9</v>
      </c>
      <c r="D32" s="96">
        <v>2565.9</v>
      </c>
      <c r="E32" s="87"/>
      <c r="F32" s="179"/>
      <c r="G32" s="181"/>
      <c r="H32" s="182"/>
      <c r="J32" s="88">
        <f t="shared" si="4"/>
        <v>12.84</v>
      </c>
      <c r="K32" s="88">
        <f t="shared" si="5"/>
        <v>-12.84</v>
      </c>
    </row>
    <row r="33" spans="2:11" ht="15.6" customHeight="1">
      <c r="B33" s="74">
        <v>3000</v>
      </c>
      <c r="C33" s="96">
        <v>2998.22</v>
      </c>
      <c r="D33" s="96">
        <v>2998.22</v>
      </c>
      <c r="E33" s="87"/>
      <c r="F33" s="179"/>
      <c r="G33" s="181"/>
      <c r="H33" s="182"/>
      <c r="J33" s="88">
        <f t="shared" si="4"/>
        <v>15</v>
      </c>
      <c r="K33" s="88">
        <f t="shared" si="5"/>
        <v>-15</v>
      </c>
    </row>
    <row r="34" spans="2:11" ht="45.75">
      <c r="B34" s="98" t="s">
        <v>178</v>
      </c>
      <c r="C34" s="49" t="s">
        <v>179</v>
      </c>
      <c r="D34" s="49" t="s">
        <v>180</v>
      </c>
      <c r="E34" s="85" t="s">
        <v>181</v>
      </c>
      <c r="F34" s="179"/>
      <c r="G34" s="86" t="s">
        <v>182</v>
      </c>
      <c r="H34" s="49" t="s">
        <v>183</v>
      </c>
    </row>
    <row r="35" spans="2:11" ht="15.6" customHeight="1">
      <c r="B35" s="74">
        <f>IF(AND(B26&gt;=15,B26&lt;=70),1,IF(AND(B26&gt;70,B26&lt;=300),B26*0.015,IF(AND(B26&gt;300,B26&lt;=1000),6,IF(AND(B26&gt;1000),B26*0.005,1))))</f>
        <v>1</v>
      </c>
      <c r="C35" s="96">
        <f>IF(C26="","",C26-B26)</f>
        <v>-0.03</v>
      </c>
      <c r="D35" s="96">
        <f>IF(D26="","",D26-B26)</f>
        <v>-0.03</v>
      </c>
      <c r="E35" s="74" t="str">
        <f>IF(E26="","",E26-B26)</f>
        <v/>
      </c>
      <c r="F35" s="179"/>
      <c r="G35" s="92">
        <f>C35-D35</f>
        <v>0</v>
      </c>
      <c r="H35" s="88" t="e">
        <f t="shared" ref="H35:H42" si="6">C35-E35</f>
        <v>#VALUE!</v>
      </c>
    </row>
    <row r="36" spans="2:11" ht="15.6" customHeight="1">
      <c r="B36" s="74">
        <f t="shared" ref="B36:B42" si="7">IF(AND(B27&gt;=15,B27&lt;=70),1,IF(AND(B27&gt;70,B27&lt;=300),B27*0.015,IF(AND(B27&gt;300,B27&lt;=1000),6,IF(AND(B27&gt;1000),B27*0.005,1))))</f>
        <v>6</v>
      </c>
      <c r="C36" s="96">
        <f t="shared" ref="C36:C42" si="8">IF(C27="","",C27-B27)</f>
        <v>0.79000000000002046</v>
      </c>
      <c r="D36" s="96">
        <f t="shared" ref="D36:D42" si="9">IF(D27="","",D27-B27)</f>
        <v>0.18000000000000682</v>
      </c>
      <c r="E36" s="74" t="str">
        <f t="shared" ref="E36:E42" si="10">IF(E27="","",E27-B27)</f>
        <v/>
      </c>
      <c r="F36" s="179"/>
      <c r="G36" s="92">
        <f>C36-D36</f>
        <v>0.61000000000001364</v>
      </c>
      <c r="H36" s="88" t="e">
        <f t="shared" si="6"/>
        <v>#VALUE!</v>
      </c>
    </row>
    <row r="37" spans="2:11" ht="15.6" customHeight="1">
      <c r="B37" s="74">
        <f t="shared" si="7"/>
        <v>6</v>
      </c>
      <c r="C37" s="96">
        <f t="shared" si="8"/>
        <v>0.46000000000003638</v>
      </c>
      <c r="D37" s="96">
        <f t="shared" si="9"/>
        <v>0.42999999999994998</v>
      </c>
      <c r="E37" s="74" t="str">
        <f t="shared" si="10"/>
        <v/>
      </c>
      <c r="F37" s="179"/>
      <c r="G37" s="92">
        <f t="shared" ref="G37:G42" si="11">C37-D37</f>
        <v>3.0000000000086402E-2</v>
      </c>
      <c r="H37" s="88" t="e">
        <f t="shared" si="6"/>
        <v>#VALUE!</v>
      </c>
    </row>
    <row r="38" spans="2:11" ht="15.6" customHeight="1">
      <c r="B38" s="74">
        <f t="shared" si="7"/>
        <v>6.42</v>
      </c>
      <c r="C38" s="96">
        <f t="shared" si="8"/>
        <v>-0.11999999999989086</v>
      </c>
      <c r="D38" s="96">
        <f t="shared" si="9"/>
        <v>-0.11999999999989086</v>
      </c>
      <c r="E38" s="74" t="str">
        <f t="shared" si="10"/>
        <v/>
      </c>
      <c r="F38" s="179"/>
      <c r="G38" s="92">
        <f t="shared" si="11"/>
        <v>0</v>
      </c>
      <c r="H38" s="88" t="e">
        <f t="shared" si="6"/>
        <v>#VALUE!</v>
      </c>
    </row>
    <row r="39" spans="2:11" ht="15.6" customHeight="1">
      <c r="B39" s="74">
        <f t="shared" si="7"/>
        <v>8.56</v>
      </c>
      <c r="C39" s="96">
        <f t="shared" si="8"/>
        <v>-0.24000000000000909</v>
      </c>
      <c r="D39" s="96">
        <f t="shared" si="9"/>
        <v>-0.83999999999991815</v>
      </c>
      <c r="E39" s="74" t="str">
        <f t="shared" si="10"/>
        <v/>
      </c>
      <c r="F39" s="179"/>
      <c r="G39" s="92">
        <f t="shared" si="11"/>
        <v>0.59999999999990905</v>
      </c>
      <c r="H39" s="88" t="e">
        <f t="shared" si="6"/>
        <v>#VALUE!</v>
      </c>
    </row>
    <row r="40" spans="2:11" ht="15.6" customHeight="1">
      <c r="B40" s="74">
        <f t="shared" si="7"/>
        <v>10.700000000000001</v>
      </c>
      <c r="C40" s="96">
        <f t="shared" si="8"/>
        <v>-1.2399999999997817</v>
      </c>
      <c r="D40" s="96">
        <f t="shared" si="9"/>
        <v>-1.2399999999997817</v>
      </c>
      <c r="E40" s="74" t="str">
        <f t="shared" si="10"/>
        <v/>
      </c>
      <c r="F40" s="179"/>
      <c r="G40" s="92">
        <f t="shared" si="11"/>
        <v>0</v>
      </c>
      <c r="H40" s="88" t="e">
        <f t="shared" si="6"/>
        <v>#VALUE!</v>
      </c>
    </row>
    <row r="41" spans="2:11" ht="15.6" customHeight="1">
      <c r="B41" s="74">
        <f t="shared" si="7"/>
        <v>12.84</v>
      </c>
      <c r="C41" s="96">
        <f t="shared" si="8"/>
        <v>-2.0999999999999091</v>
      </c>
      <c r="D41" s="96">
        <f t="shared" si="9"/>
        <v>-2.0999999999999091</v>
      </c>
      <c r="E41" s="74" t="str">
        <f t="shared" si="10"/>
        <v/>
      </c>
      <c r="F41" s="179"/>
      <c r="G41" s="92">
        <f t="shared" si="11"/>
        <v>0</v>
      </c>
      <c r="H41" s="88" t="e">
        <f t="shared" si="6"/>
        <v>#VALUE!</v>
      </c>
    </row>
    <row r="42" spans="2:11" ht="15.6" customHeight="1">
      <c r="B42" s="74">
        <f t="shared" si="7"/>
        <v>15</v>
      </c>
      <c r="C42" s="96">
        <f t="shared" si="8"/>
        <v>-1.7800000000002001</v>
      </c>
      <c r="D42" s="96">
        <f t="shared" si="9"/>
        <v>-1.7800000000002001</v>
      </c>
      <c r="E42" s="74" t="str">
        <f t="shared" si="10"/>
        <v/>
      </c>
      <c r="F42" s="180"/>
      <c r="G42" s="92">
        <f t="shared" si="11"/>
        <v>0</v>
      </c>
      <c r="H42" s="88" t="e">
        <f t="shared" si="6"/>
        <v>#VALUE!</v>
      </c>
    </row>
    <row r="44" spans="2:11">
      <c r="B44" s="186" t="s">
        <v>191</v>
      </c>
      <c r="C44" s="186"/>
      <c r="D44" s="186"/>
      <c r="E44" s="186"/>
      <c r="F44" s="186"/>
    </row>
    <row r="45" spans="2:11">
      <c r="B45" s="185" t="s">
        <v>192</v>
      </c>
      <c r="C45" s="185"/>
      <c r="D45" s="185"/>
      <c r="E45" s="185"/>
      <c r="F45" s="185"/>
    </row>
    <row r="46" spans="2:11">
      <c r="B46" s="99" t="s">
        <v>193</v>
      </c>
      <c r="C46" s="99" t="s">
        <v>194</v>
      </c>
      <c r="D46" s="99" t="s">
        <v>195</v>
      </c>
      <c r="E46" s="99" t="s">
        <v>196</v>
      </c>
      <c r="F46" s="99" t="s">
        <v>197</v>
      </c>
    </row>
    <row r="47" spans="2:11">
      <c r="B47" s="42">
        <v>-0.01</v>
      </c>
      <c r="C47" s="42">
        <v>-0.02</v>
      </c>
      <c r="D47" s="42">
        <v>-0.02</v>
      </c>
      <c r="E47" s="42">
        <v>-0.03</v>
      </c>
      <c r="F47" s="42">
        <v>-0.03</v>
      </c>
    </row>
    <row r="48" spans="2:11">
      <c r="B48" s="42">
        <v>422.9</v>
      </c>
      <c r="C48" s="42">
        <v>5.89</v>
      </c>
      <c r="D48" s="42">
        <v>5.89</v>
      </c>
      <c r="E48" s="42">
        <v>428.79</v>
      </c>
      <c r="F48" s="42">
        <v>428.79</v>
      </c>
    </row>
    <row r="49" spans="2:6">
      <c r="B49" s="42">
        <v>847.03</v>
      </c>
      <c r="C49" s="42">
        <v>9.43</v>
      </c>
      <c r="D49" s="42">
        <v>9.43</v>
      </c>
      <c r="E49" s="42">
        <v>856.46</v>
      </c>
      <c r="F49" s="42">
        <v>856.46</v>
      </c>
    </row>
    <row r="50" spans="2:6">
      <c r="B50" s="42">
        <v>1272.3599999999999</v>
      </c>
      <c r="C50" s="42">
        <v>11.51</v>
      </c>
      <c r="D50" s="42">
        <v>11.51</v>
      </c>
      <c r="E50" s="42">
        <v>1283.8800000000001</v>
      </c>
      <c r="F50" s="42">
        <v>1283.8699999999999</v>
      </c>
    </row>
    <row r="51" spans="2:6">
      <c r="B51" s="42">
        <v>1699.51</v>
      </c>
      <c r="C51" s="42">
        <v>12.25</v>
      </c>
      <c r="D51" s="42">
        <v>12.25</v>
      </c>
      <c r="E51" s="42">
        <v>1711.76</v>
      </c>
      <c r="F51" s="42">
        <v>1711.76</v>
      </c>
    </row>
    <row r="52" spans="2:6">
      <c r="B52" s="42">
        <v>2126.65</v>
      </c>
      <c r="C52" s="42">
        <v>12.11</v>
      </c>
      <c r="D52" s="42">
        <v>12.11</v>
      </c>
      <c r="E52" s="42">
        <v>2138.7600000000002</v>
      </c>
      <c r="F52" s="42">
        <v>2138.7600000000002</v>
      </c>
    </row>
    <row r="53" spans="2:6">
      <c r="B53" s="42">
        <v>2553.8000000000002</v>
      </c>
      <c r="C53" s="42">
        <v>12.1</v>
      </c>
      <c r="D53" s="42">
        <v>12.1</v>
      </c>
      <c r="E53" s="42">
        <v>2565.9</v>
      </c>
      <c r="F53" s="42">
        <v>2565.9</v>
      </c>
    </row>
    <row r="54" spans="2:6">
      <c r="B54" s="42">
        <v>2985.18</v>
      </c>
      <c r="C54" s="42">
        <v>13.05</v>
      </c>
      <c r="D54" s="42">
        <v>13.05</v>
      </c>
      <c r="E54" s="42">
        <v>2998.22</v>
      </c>
      <c r="F54" s="42">
        <v>2998.23</v>
      </c>
    </row>
    <row r="55" spans="2:6">
      <c r="B55" s="185" t="s">
        <v>198</v>
      </c>
      <c r="C55" s="185"/>
      <c r="D55" s="185"/>
      <c r="E55" s="185"/>
      <c r="F55" s="185"/>
    </row>
    <row r="56" spans="2:6">
      <c r="B56" s="99" t="s">
        <v>193</v>
      </c>
      <c r="C56" s="99" t="s">
        <v>194</v>
      </c>
      <c r="D56" s="99" t="s">
        <v>195</v>
      </c>
      <c r="E56" s="99" t="s">
        <v>196</v>
      </c>
      <c r="F56" s="99" t="s">
        <v>197</v>
      </c>
    </row>
    <row r="57" spans="2:6">
      <c r="B57" s="42">
        <v>-0.01</v>
      </c>
      <c r="C57" s="42">
        <v>-0.02</v>
      </c>
      <c r="D57" s="42">
        <v>-0.02</v>
      </c>
      <c r="E57" s="42">
        <v>-0.03</v>
      </c>
      <c r="F57" s="42">
        <v>-0.03</v>
      </c>
    </row>
    <row r="58" spans="2:6">
      <c r="B58" s="42">
        <v>422.3</v>
      </c>
      <c r="C58" s="42">
        <v>5.88</v>
      </c>
      <c r="D58" s="42">
        <v>5.88</v>
      </c>
      <c r="E58" s="42">
        <v>428.18</v>
      </c>
      <c r="F58" s="42">
        <v>428.18</v>
      </c>
    </row>
    <row r="59" spans="2:6">
      <c r="B59" s="42">
        <v>847.03</v>
      </c>
      <c r="C59" s="42">
        <v>9.43</v>
      </c>
      <c r="D59" s="42">
        <v>9.43</v>
      </c>
      <c r="E59" s="42">
        <v>856.46</v>
      </c>
      <c r="F59" s="42">
        <v>856.46</v>
      </c>
    </row>
    <row r="60" spans="2:6">
      <c r="B60" s="42">
        <v>1272.3599999999999</v>
      </c>
      <c r="C60" s="42">
        <v>11.51</v>
      </c>
      <c r="D60" s="42">
        <v>11.51</v>
      </c>
      <c r="E60" s="42">
        <v>1283.8800000000001</v>
      </c>
      <c r="F60" s="42">
        <v>1283.8699999999999</v>
      </c>
    </row>
    <row r="61" spans="2:6">
      <c r="B61" s="42">
        <v>1698.9</v>
      </c>
      <c r="C61" s="42">
        <v>12.25</v>
      </c>
      <c r="D61" s="42">
        <v>12.25</v>
      </c>
      <c r="E61" s="42">
        <v>1711.16</v>
      </c>
      <c r="F61" s="42">
        <v>1711.16</v>
      </c>
    </row>
    <row r="62" spans="2:6">
      <c r="B62" s="42">
        <v>2126.65</v>
      </c>
      <c r="C62" s="42">
        <v>12.11</v>
      </c>
      <c r="D62" s="42">
        <v>12.11</v>
      </c>
      <c r="E62" s="42">
        <v>2138.7600000000002</v>
      </c>
      <c r="F62" s="42">
        <v>2138.7600000000002</v>
      </c>
    </row>
    <row r="63" spans="2:6">
      <c r="B63" s="42">
        <v>2553.8000000000002</v>
      </c>
      <c r="C63" s="42">
        <v>12.1</v>
      </c>
      <c r="D63" s="42">
        <v>12.1</v>
      </c>
      <c r="E63" s="42">
        <v>2565.9</v>
      </c>
      <c r="F63" s="42">
        <v>2565.9</v>
      </c>
    </row>
    <row r="64" spans="2:6">
      <c r="B64" s="42">
        <v>2985.18</v>
      </c>
      <c r="C64" s="42">
        <v>13.05</v>
      </c>
      <c r="D64" s="42">
        <v>13.05</v>
      </c>
      <c r="E64" s="42">
        <v>2998.22</v>
      </c>
      <c r="F64" s="42">
        <v>2998.22</v>
      </c>
    </row>
    <row r="65" spans="2:6">
      <c r="B65" s="185" t="s">
        <v>199</v>
      </c>
      <c r="C65" s="185"/>
      <c r="D65" s="185"/>
      <c r="E65" s="185"/>
      <c r="F65" s="185"/>
    </row>
    <row r="66" spans="2:6">
      <c r="B66" s="99" t="s">
        <v>193</v>
      </c>
      <c r="C66" s="99" t="s">
        <v>194</v>
      </c>
      <c r="D66" s="99" t="s">
        <v>195</v>
      </c>
      <c r="E66" s="99" t="s">
        <v>196</v>
      </c>
      <c r="F66" s="99" t="s">
        <v>197</v>
      </c>
    </row>
    <row r="67" spans="2:6">
      <c r="B67" s="42">
        <v>0</v>
      </c>
      <c r="C67" s="42">
        <v>0</v>
      </c>
      <c r="D67" s="42">
        <v>0</v>
      </c>
      <c r="E67" s="42">
        <v>0</v>
      </c>
      <c r="F67" s="42">
        <v>0</v>
      </c>
    </row>
    <row r="68" spans="2:6">
      <c r="B68" s="42">
        <v>0</v>
      </c>
      <c r="C68" s="42">
        <v>0</v>
      </c>
      <c r="D68" s="42">
        <v>0</v>
      </c>
      <c r="E68" s="42">
        <v>0</v>
      </c>
      <c r="F68" s="42">
        <v>0</v>
      </c>
    </row>
    <row r="69" spans="2:6">
      <c r="B69" s="42">
        <v>0</v>
      </c>
      <c r="C69" s="42">
        <v>0</v>
      </c>
      <c r="D69" s="42">
        <v>0</v>
      </c>
      <c r="E69" s="42">
        <v>0</v>
      </c>
      <c r="F69" s="42">
        <v>0</v>
      </c>
    </row>
    <row r="70" spans="2:6">
      <c r="B70" s="42">
        <v>0</v>
      </c>
      <c r="C70" s="42">
        <v>0</v>
      </c>
      <c r="D70" s="42">
        <v>0</v>
      </c>
      <c r="E70" s="42">
        <v>0</v>
      </c>
      <c r="F70" s="42">
        <v>0</v>
      </c>
    </row>
    <row r="71" spans="2:6">
      <c r="B71" s="42">
        <v>0</v>
      </c>
      <c r="C71" s="42">
        <v>0</v>
      </c>
      <c r="D71" s="42">
        <v>0</v>
      </c>
      <c r="E71" s="42">
        <v>0</v>
      </c>
      <c r="F71" s="42">
        <v>0</v>
      </c>
    </row>
    <row r="72" spans="2:6">
      <c r="B72" s="42">
        <v>0</v>
      </c>
      <c r="C72" s="42">
        <v>0</v>
      </c>
      <c r="D72" s="42">
        <v>0</v>
      </c>
      <c r="E72" s="42">
        <v>0</v>
      </c>
      <c r="F72" s="42">
        <v>0</v>
      </c>
    </row>
    <row r="73" spans="2:6">
      <c r="B73" s="42">
        <v>0</v>
      </c>
      <c r="C73" s="42">
        <v>0</v>
      </c>
      <c r="D73" s="42">
        <v>0</v>
      </c>
      <c r="E73" s="42">
        <v>0</v>
      </c>
      <c r="F73" s="42">
        <v>0</v>
      </c>
    </row>
    <row r="74" spans="2:6">
      <c r="B74" s="42">
        <v>0</v>
      </c>
      <c r="C74" s="42">
        <v>0</v>
      </c>
      <c r="D74" s="42">
        <v>0</v>
      </c>
      <c r="E74" s="42">
        <v>0</v>
      </c>
      <c r="F74" s="42">
        <v>0</v>
      </c>
    </row>
  </sheetData>
  <mergeCells count="15">
    <mergeCell ref="G9:G20"/>
    <mergeCell ref="H13:I20"/>
    <mergeCell ref="G3:G4"/>
    <mergeCell ref="H3:H4"/>
    <mergeCell ref="I3:I4"/>
    <mergeCell ref="B6:I6"/>
    <mergeCell ref="B7:I7"/>
    <mergeCell ref="B55:F55"/>
    <mergeCell ref="B65:F65"/>
    <mergeCell ref="B22:H22"/>
    <mergeCell ref="F25:F42"/>
    <mergeCell ref="G26:G33"/>
    <mergeCell ref="H26:H33"/>
    <mergeCell ref="B44:F44"/>
    <mergeCell ref="B45:F45"/>
  </mergeCells>
  <conditionalFormatting sqref="O8">
    <cfRule type="expression" dxfId="27" priority="1">
      <formula>" "</formula>
    </cfRule>
    <cfRule type="containsText" dxfId="26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C61B-6BE4-4A2E-AB12-FD34CC016636}">
  <dimension ref="A2:L72"/>
  <sheetViews>
    <sheetView topLeftCell="A24" zoomScale="83" zoomScaleNormal="83" workbookViewId="0">
      <selection activeCell="D32" sqref="D32"/>
    </sheetView>
  </sheetViews>
  <sheetFormatPr defaultColWidth="11.42578125" defaultRowHeight="15"/>
  <cols>
    <col min="1" max="1" width="3.28515625" customWidth="1"/>
    <col min="2" max="2" width="17.28515625" customWidth="1"/>
    <col min="3" max="4" width="18.28515625" bestFit="1" customWidth="1"/>
    <col min="5" max="6" width="17.28515625" customWidth="1"/>
    <col min="7" max="7" width="18.42578125" customWidth="1"/>
    <col min="8" max="9" width="17.28515625" customWidth="1"/>
    <col min="10" max="10" width="15.5703125" customWidth="1"/>
    <col min="11" max="11" width="11.5703125" bestFit="1" customWidth="1"/>
    <col min="12" max="12" width="12.5703125" customWidth="1"/>
  </cols>
  <sheetData>
    <row r="2" spans="1:12" ht="48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186</v>
      </c>
      <c r="I2" s="49" t="s">
        <v>187</v>
      </c>
      <c r="J2" s="56"/>
    </row>
    <row r="3" spans="1:12" ht="21.6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>F4+5</f>
        <v>45924</v>
      </c>
      <c r="H3" s="183">
        <f ca="1">IF(TODAY()-$F$3&lt;=340,$F$4+120,"ERROR, CALIBRE EL PATRÓN")</f>
        <v>46039</v>
      </c>
      <c r="I3" s="183">
        <f ca="1">IF(TODAY()-$F$3&lt;=340,$F$4+240,"ERROR, CALIBRE EL PATRÓN")</f>
        <v>46159</v>
      </c>
      <c r="J3" s="39"/>
    </row>
    <row r="4" spans="1:12" ht="28.9" customHeight="1">
      <c r="B4" s="58" t="s">
        <v>165</v>
      </c>
      <c r="C4" s="42" t="s">
        <v>106</v>
      </c>
      <c r="D4" s="42" t="s">
        <v>107</v>
      </c>
      <c r="E4" s="42">
        <v>92833390</v>
      </c>
      <c r="F4" s="50">
        <f>'CONTROL CALIBRACIONES'!G41</f>
        <v>45919</v>
      </c>
      <c r="G4" s="183"/>
      <c r="H4" s="183"/>
      <c r="I4" s="183"/>
      <c r="J4" s="39"/>
    </row>
    <row r="6" spans="1:12" s="51" customFormat="1" ht="29.45" customHeight="1">
      <c r="B6" s="171" t="s">
        <v>148</v>
      </c>
      <c r="C6" s="171"/>
      <c r="D6" s="171"/>
      <c r="E6" s="171"/>
      <c r="F6" s="171"/>
      <c r="G6" s="171"/>
      <c r="H6" s="171"/>
      <c r="I6" s="171"/>
      <c r="J6" s="71"/>
    </row>
    <row r="7" spans="1:12" s="51" customFormat="1" ht="3.6" customHeight="1">
      <c r="B7" s="195"/>
      <c r="C7" s="196"/>
      <c r="D7" s="196"/>
      <c r="E7" s="196"/>
      <c r="F7" s="196"/>
      <c r="G7" s="196"/>
      <c r="H7" s="196"/>
      <c r="I7" s="197"/>
    </row>
    <row r="8" spans="1:12" s="51" customFormat="1" ht="29.45" customHeight="1">
      <c r="B8" s="49" t="s">
        <v>149</v>
      </c>
      <c r="C8" s="49" t="s">
        <v>150</v>
      </c>
      <c r="D8" s="49" t="s">
        <v>188</v>
      </c>
      <c r="E8" s="49" t="s">
        <v>152</v>
      </c>
      <c r="F8" s="49" t="s">
        <v>153</v>
      </c>
      <c r="G8" s="49" t="s">
        <v>154</v>
      </c>
      <c r="H8" s="58" t="s">
        <v>166</v>
      </c>
      <c r="I8" s="42">
        <v>20.100000000000001</v>
      </c>
      <c r="K8" s="76" t="s">
        <v>155</v>
      </c>
      <c r="L8" s="42" t="s">
        <v>156</v>
      </c>
    </row>
    <row r="9" spans="1:12" s="51" customFormat="1" ht="29.45" customHeight="1">
      <c r="A9" s="51">
        <v>1</v>
      </c>
      <c r="B9" s="44">
        <v>0</v>
      </c>
      <c r="C9" s="44">
        <v>0</v>
      </c>
      <c r="D9" s="44">
        <f>B9-C9</f>
        <v>0</v>
      </c>
      <c r="E9" s="60">
        <v>5.7999999999999996E-3</v>
      </c>
      <c r="F9" s="44">
        <v>0.1</v>
      </c>
      <c r="G9" s="182" t="str">
        <f>IF(AND(ABS(D9)&lt;F9,ABS(D10)&lt;F10,ABS(D11)&lt;F11,ABS(D12)&lt;F12,ABS(D13)&lt;F13,ABS(D14)&lt;F14,ABS(D15)&lt;F15,ABS(D16)&lt;F16,ABS(D18)&lt;F18),"EQUIPO CUMPLE ESPECIFICACIÓN","EQUIPO NO CUMPLE ESPECIFICACIÓN")</f>
        <v>EQUIPO CUMPLE ESPECIFICACIÓN</v>
      </c>
      <c r="H9" s="58" t="s">
        <v>157</v>
      </c>
      <c r="I9" s="42">
        <v>748.7</v>
      </c>
      <c r="K9" s="42">
        <f>F9</f>
        <v>0.1</v>
      </c>
      <c r="L9" s="42">
        <f>-F9</f>
        <v>-0.1</v>
      </c>
    </row>
    <row r="10" spans="1:12" s="51" customFormat="1" ht="29.45" customHeight="1">
      <c r="A10" s="51">
        <v>2</v>
      </c>
      <c r="B10" s="44">
        <v>10</v>
      </c>
      <c r="C10" s="44">
        <v>10.058</v>
      </c>
      <c r="D10" s="44">
        <f>B10-C10</f>
        <v>-5.7999999999999829E-2</v>
      </c>
      <c r="E10" s="60">
        <v>4.8000000000000001E-2</v>
      </c>
      <c r="F10" s="44">
        <f>IF(AND(B10&gt;=10,B10&lt;=70),2,IF(AND(B10&gt;70,B10&lt;=300),B10*0.03,IF(AND(B10&gt;300,B10&lt;=1000),12,IF(AND(B10&gt;1000),B10*0.01,"Revisar"))))</f>
        <v>2</v>
      </c>
      <c r="G10" s="182"/>
      <c r="H10" s="58" t="s">
        <v>158</v>
      </c>
      <c r="I10" s="102">
        <v>0.66500000000000004</v>
      </c>
      <c r="K10" s="42">
        <f t="shared" ref="K10:K18" si="0">F10</f>
        <v>2</v>
      </c>
      <c r="L10" s="42">
        <f t="shared" ref="L10:L18" si="1">-F10</f>
        <v>-2</v>
      </c>
    </row>
    <row r="11" spans="1:12" s="51" customFormat="1" ht="29.45" customHeight="1">
      <c r="A11" s="51">
        <v>3</v>
      </c>
      <c r="B11" s="44">
        <v>15</v>
      </c>
      <c r="C11" s="44">
        <v>15.045</v>
      </c>
      <c r="D11" s="44">
        <f t="shared" ref="D11:D18" si="2">B11-C11</f>
        <v>-4.4999999999999929E-2</v>
      </c>
      <c r="E11" s="60">
        <v>2.5000000000000001E-2</v>
      </c>
      <c r="F11" s="44">
        <f t="shared" ref="F11:F18" si="3">IF(AND(B11&gt;=15,B11&lt;=70),2,IF(AND(B11&gt;70,B11&lt;=300),B11*0.03,IF(AND(B11&gt;300,B11&lt;=1000),12,IF(AND(B11&gt;1000),B11*0.01,"Revisar"))))</f>
        <v>2</v>
      </c>
      <c r="G11" s="182"/>
      <c r="H11" s="58" t="s">
        <v>159</v>
      </c>
      <c r="I11" s="42" t="s">
        <v>167</v>
      </c>
      <c r="K11" s="42">
        <f t="shared" si="0"/>
        <v>2</v>
      </c>
      <c r="L11" s="42">
        <f t="shared" si="1"/>
        <v>-2</v>
      </c>
    </row>
    <row r="12" spans="1:12" s="51" customFormat="1" ht="29.45" customHeight="1">
      <c r="A12" s="51">
        <v>4</v>
      </c>
      <c r="B12" s="44">
        <v>36</v>
      </c>
      <c r="C12" s="44">
        <v>36.058</v>
      </c>
      <c r="D12" s="44">
        <f t="shared" si="2"/>
        <v>-5.7999999999999829E-2</v>
      </c>
      <c r="E12" s="60">
        <v>2.3E-2</v>
      </c>
      <c r="F12" s="44">
        <f t="shared" si="3"/>
        <v>2</v>
      </c>
      <c r="G12" s="182"/>
      <c r="H12" s="58" t="s">
        <v>146</v>
      </c>
      <c r="I12" s="50">
        <f>F4</f>
        <v>45919</v>
      </c>
      <c r="K12" s="42">
        <f t="shared" si="0"/>
        <v>2</v>
      </c>
      <c r="L12" s="42">
        <f t="shared" si="1"/>
        <v>-2</v>
      </c>
    </row>
    <row r="13" spans="1:12" s="51" customFormat="1" ht="21.6" customHeight="1">
      <c r="A13" s="51">
        <v>5</v>
      </c>
      <c r="B13" s="44">
        <v>54</v>
      </c>
      <c r="C13" s="44">
        <v>54.082999999999998</v>
      </c>
      <c r="D13" s="44">
        <f t="shared" si="2"/>
        <v>-8.2999999999998408E-2</v>
      </c>
      <c r="E13" s="60">
        <v>4.3999999999999997E-2</v>
      </c>
      <c r="F13" s="44">
        <f t="shared" si="3"/>
        <v>2</v>
      </c>
      <c r="G13" s="182"/>
      <c r="H13" s="175" t="s">
        <v>161</v>
      </c>
      <c r="I13" s="175"/>
      <c r="K13" s="42">
        <f t="shared" si="0"/>
        <v>2</v>
      </c>
      <c r="L13" s="42">
        <f t="shared" si="1"/>
        <v>-2</v>
      </c>
    </row>
    <row r="14" spans="1:12" s="51" customFormat="1" ht="21.6" customHeight="1">
      <c r="A14" s="51">
        <v>6</v>
      </c>
      <c r="B14" s="44">
        <v>72</v>
      </c>
      <c r="C14" s="44">
        <v>72.113</v>
      </c>
      <c r="D14" s="44">
        <f t="shared" si="2"/>
        <v>-0.11299999999999955</v>
      </c>
      <c r="E14" s="60">
        <v>4.3999999999999997E-2</v>
      </c>
      <c r="F14" s="44">
        <f t="shared" si="3"/>
        <v>2.16</v>
      </c>
      <c r="G14" s="182"/>
      <c r="H14" s="175"/>
      <c r="I14" s="175"/>
      <c r="K14" s="42">
        <f t="shared" si="0"/>
        <v>2.16</v>
      </c>
      <c r="L14" s="42">
        <f t="shared" si="1"/>
        <v>-2.16</v>
      </c>
    </row>
    <row r="15" spans="1:12" s="51" customFormat="1" ht="21.6" customHeight="1">
      <c r="A15" s="51">
        <v>7</v>
      </c>
      <c r="B15" s="44">
        <v>90</v>
      </c>
      <c r="C15" s="58">
        <v>90.08</v>
      </c>
      <c r="D15" s="44">
        <f t="shared" si="2"/>
        <v>-7.9999999999998295E-2</v>
      </c>
      <c r="E15" s="60">
        <v>2.3E-2</v>
      </c>
      <c r="F15" s="44">
        <f t="shared" si="3"/>
        <v>2.6999999999999997</v>
      </c>
      <c r="G15" s="182"/>
      <c r="H15" s="175"/>
      <c r="I15" s="175"/>
      <c r="K15" s="42">
        <f t="shared" si="0"/>
        <v>2.6999999999999997</v>
      </c>
      <c r="L15" s="42">
        <f t="shared" si="1"/>
        <v>-2.6999999999999997</v>
      </c>
    </row>
    <row r="16" spans="1:12" s="51" customFormat="1" ht="21.6" customHeight="1">
      <c r="A16" s="51">
        <v>8</v>
      </c>
      <c r="B16" s="44">
        <v>108</v>
      </c>
      <c r="C16" s="44">
        <v>108.04</v>
      </c>
      <c r="D16" s="44">
        <f t="shared" si="2"/>
        <v>-4.0000000000006253E-2</v>
      </c>
      <c r="E16" s="60">
        <v>2.1000000000000001E-2</v>
      </c>
      <c r="F16" s="44">
        <f t="shared" si="3"/>
        <v>3.2399999999999998</v>
      </c>
      <c r="G16" s="182"/>
      <c r="H16" s="175"/>
      <c r="I16" s="175"/>
      <c r="K16" s="42">
        <f t="shared" si="0"/>
        <v>3.2399999999999998</v>
      </c>
      <c r="L16" s="42">
        <f t="shared" si="1"/>
        <v>-3.2399999999999998</v>
      </c>
    </row>
    <row r="17" spans="1:12" s="51" customFormat="1" ht="21.6" customHeight="1">
      <c r="A17" s="51">
        <v>9</v>
      </c>
      <c r="B17" s="44">
        <v>126</v>
      </c>
      <c r="C17" s="44">
        <v>125.91800000000001</v>
      </c>
      <c r="D17" s="44">
        <f t="shared" si="2"/>
        <v>8.1999999999993634E-2</v>
      </c>
      <c r="E17" s="60">
        <v>3.3000000000000002E-2</v>
      </c>
      <c r="F17" s="44">
        <f t="shared" si="3"/>
        <v>3.78</v>
      </c>
      <c r="G17" s="182"/>
      <c r="H17" s="175"/>
      <c r="I17" s="175"/>
      <c r="K17" s="42">
        <f t="shared" si="0"/>
        <v>3.78</v>
      </c>
      <c r="L17" s="42">
        <f t="shared" si="1"/>
        <v>-3.78</v>
      </c>
    </row>
    <row r="18" spans="1:12" s="51" customFormat="1" ht="21.6" customHeight="1">
      <c r="A18" s="51">
        <v>10</v>
      </c>
      <c r="B18" s="44">
        <v>145</v>
      </c>
      <c r="C18" s="44">
        <v>144.83500000000001</v>
      </c>
      <c r="D18" s="44">
        <f t="shared" si="2"/>
        <v>0.16499999999999204</v>
      </c>
      <c r="E18" s="60">
        <v>1.7000000000000001E-2</v>
      </c>
      <c r="F18" s="44">
        <f t="shared" si="3"/>
        <v>4.3499999999999996</v>
      </c>
      <c r="G18" s="182"/>
      <c r="H18" s="175"/>
      <c r="I18" s="175"/>
      <c r="K18" s="42">
        <f t="shared" si="0"/>
        <v>4.3499999999999996</v>
      </c>
      <c r="L18" s="42">
        <f t="shared" si="1"/>
        <v>-4.3499999999999996</v>
      </c>
    </row>
    <row r="20" spans="1:12">
      <c r="B20" s="176" t="s">
        <v>168</v>
      </c>
      <c r="C20" s="177"/>
      <c r="D20" s="177"/>
      <c r="E20" s="177"/>
      <c r="F20" s="177"/>
      <c r="G20" s="177"/>
      <c r="H20" s="178"/>
      <c r="I20" s="71"/>
    </row>
    <row r="21" spans="1:12">
      <c r="B21" s="100" t="s">
        <v>169</v>
      </c>
      <c r="C21" s="79">
        <v>45924</v>
      </c>
      <c r="D21" s="79">
        <v>45931</v>
      </c>
      <c r="E21" s="79"/>
      <c r="F21" s="80"/>
      <c r="G21" s="81"/>
      <c r="H21" s="82"/>
      <c r="I21" s="51"/>
    </row>
    <row r="22" spans="1:12">
      <c r="B22" s="101" t="s">
        <v>170</v>
      </c>
      <c r="C22" s="72" t="s">
        <v>171</v>
      </c>
      <c r="D22" s="72" t="s">
        <v>171</v>
      </c>
      <c r="E22" s="72"/>
      <c r="F22" s="80"/>
      <c r="G22" s="83"/>
      <c r="H22" s="84"/>
      <c r="I22" s="51"/>
    </row>
    <row r="23" spans="1:12" ht="46.15" customHeight="1">
      <c r="B23" s="49" t="s">
        <v>149</v>
      </c>
      <c r="C23" s="49" t="s">
        <v>190</v>
      </c>
      <c r="D23" s="49" t="s">
        <v>173</v>
      </c>
      <c r="E23" s="85" t="s">
        <v>174</v>
      </c>
      <c r="F23" s="179"/>
      <c r="G23" s="86" t="s">
        <v>176</v>
      </c>
      <c r="H23" s="49" t="s">
        <v>177</v>
      </c>
      <c r="J23" s="76" t="s">
        <v>155</v>
      </c>
      <c r="K23" s="42" t="s">
        <v>156</v>
      </c>
    </row>
    <row r="24" spans="1:12" ht="15.6" customHeight="1">
      <c r="B24" s="74">
        <v>0</v>
      </c>
      <c r="C24" s="96">
        <v>0</v>
      </c>
      <c r="D24" s="96">
        <v>0</v>
      </c>
      <c r="E24" s="104"/>
      <c r="F24" s="179"/>
      <c r="G24" s="181" t="str">
        <f>IF(AND(ABS(G33)&lt;$B$33,ABS(G34)&lt;$B$34,ABS(G35)&lt;$B$35,ABS(G36)&lt;$B$36,ABS(G37)&lt;$B$37,ABS(G38)&lt;$B$38,ABS(G39)&lt;$B$39,ABS(G40)&lt;$B$40),"EQUIPO SE ENCUENTRA COMPROBADO","EQUIPO TIENE ALGUNA AFECTACIÓN, ENVIAR A REVISIÓN")</f>
        <v>EQUIPO SE ENCUENTRA COMPROBADO</v>
      </c>
      <c r="H24" s="182" t="e">
        <f>IF(AND(ABS(H33)&lt;$B$33,ABS(H34)&lt;$B$34,ABS(H35)&lt;$B$35,ABS(H36)&lt;$B$36,ABS(H37)&lt;$B$37,ABS(H38)&lt;$B$38,ABS(H39)&lt;$B$39,ABS(H40)&lt;$B$40),"EQUIPO SE ENCUENTRA COMPROBADO","EQUIPO TIENE ALGUNA AFECTACIÓN, ENVIAR A REVISIÓN")</f>
        <v>#VALUE!</v>
      </c>
      <c r="I24" s="96">
        <v>0</v>
      </c>
      <c r="J24" s="88">
        <f t="shared" ref="J24:J31" si="4">B33</f>
        <v>1</v>
      </c>
      <c r="K24" s="88">
        <f t="shared" ref="K24:K31" si="5">-B33</f>
        <v>-1</v>
      </c>
    </row>
    <row r="25" spans="1:12" ht="15.6" customHeight="1">
      <c r="B25" s="74">
        <v>20</v>
      </c>
      <c r="C25" s="96">
        <v>19.93</v>
      </c>
      <c r="D25" s="96">
        <v>20.010000000000002</v>
      </c>
      <c r="E25" s="104"/>
      <c r="F25" s="179"/>
      <c r="G25" s="181"/>
      <c r="H25" s="182"/>
      <c r="I25" s="96">
        <v>19.87</v>
      </c>
      <c r="J25" s="88">
        <f t="shared" si="4"/>
        <v>1</v>
      </c>
      <c r="K25" s="88">
        <f t="shared" si="5"/>
        <v>-1</v>
      </c>
    </row>
    <row r="26" spans="1:12" ht="15.6" customHeight="1">
      <c r="B26" s="74">
        <v>40</v>
      </c>
      <c r="C26" s="96">
        <v>39.909999999999997</v>
      </c>
      <c r="D26" s="96">
        <v>39.950000000000003</v>
      </c>
      <c r="E26" s="104"/>
      <c r="F26" s="179"/>
      <c r="G26" s="181"/>
      <c r="H26" s="182"/>
      <c r="I26" s="96">
        <v>39.83</v>
      </c>
      <c r="J26" s="88">
        <f t="shared" si="4"/>
        <v>1</v>
      </c>
      <c r="K26" s="88">
        <f t="shared" si="5"/>
        <v>-1</v>
      </c>
    </row>
    <row r="27" spans="1:12" ht="15.6" customHeight="1">
      <c r="B27" s="74">
        <v>60</v>
      </c>
      <c r="C27" s="96">
        <v>59.92</v>
      </c>
      <c r="D27" s="96">
        <v>59.93</v>
      </c>
      <c r="E27" s="104"/>
      <c r="F27" s="179"/>
      <c r="G27" s="181"/>
      <c r="H27" s="182"/>
      <c r="I27" s="96">
        <v>59.89</v>
      </c>
      <c r="J27" s="88">
        <f t="shared" si="4"/>
        <v>1</v>
      </c>
      <c r="K27" s="88">
        <f t="shared" si="5"/>
        <v>-1</v>
      </c>
    </row>
    <row r="28" spans="1:12" ht="15.6" customHeight="1">
      <c r="B28" s="74">
        <v>80</v>
      </c>
      <c r="C28" s="96">
        <v>79.959999999999994</v>
      </c>
      <c r="D28" s="96">
        <v>80.02</v>
      </c>
      <c r="E28" s="105"/>
      <c r="F28" s="179"/>
      <c r="G28" s="181"/>
      <c r="H28" s="182"/>
      <c r="I28" s="96">
        <v>79.900000000000006</v>
      </c>
      <c r="J28" s="88">
        <f t="shared" si="4"/>
        <v>1.2</v>
      </c>
      <c r="K28" s="88">
        <f t="shared" si="5"/>
        <v>-1.2</v>
      </c>
    </row>
    <row r="29" spans="1:12" ht="15.6" customHeight="1">
      <c r="B29" s="74">
        <v>100</v>
      </c>
      <c r="C29" s="96">
        <v>99.97</v>
      </c>
      <c r="D29" s="96">
        <v>100</v>
      </c>
      <c r="E29" s="104"/>
      <c r="F29" s="179"/>
      <c r="G29" s="181"/>
      <c r="H29" s="182"/>
      <c r="I29" s="96">
        <v>99.91</v>
      </c>
      <c r="J29" s="88">
        <f t="shared" si="4"/>
        <v>1.5</v>
      </c>
      <c r="K29" s="88">
        <f t="shared" si="5"/>
        <v>-1.5</v>
      </c>
    </row>
    <row r="30" spans="1:12" ht="15.6" customHeight="1">
      <c r="B30" s="74">
        <v>120</v>
      </c>
      <c r="C30" s="96">
        <v>120.03</v>
      </c>
      <c r="D30" s="96">
        <v>119.95</v>
      </c>
      <c r="E30" s="104"/>
      <c r="F30" s="179"/>
      <c r="G30" s="181"/>
      <c r="H30" s="182"/>
      <c r="I30" s="96">
        <v>119.85</v>
      </c>
      <c r="J30" s="88">
        <f t="shared" si="4"/>
        <v>1.7999999999999998</v>
      </c>
      <c r="K30" s="88">
        <f t="shared" si="5"/>
        <v>-1.7999999999999998</v>
      </c>
    </row>
    <row r="31" spans="1:12" ht="15.6" customHeight="1">
      <c r="B31" s="74">
        <v>145</v>
      </c>
      <c r="C31" s="96">
        <v>145</v>
      </c>
      <c r="D31" s="96">
        <v>144.83000000000001</v>
      </c>
      <c r="E31" s="104"/>
      <c r="F31" s="179"/>
      <c r="G31" s="181"/>
      <c r="H31" s="182"/>
      <c r="I31" s="96">
        <v>144.71</v>
      </c>
      <c r="J31" s="88">
        <f t="shared" si="4"/>
        <v>2.1749999999999998</v>
      </c>
      <c r="K31" s="88">
        <f t="shared" si="5"/>
        <v>-2.1749999999999998</v>
      </c>
    </row>
    <row r="32" spans="1:12" ht="45.75">
      <c r="B32" s="98" t="s">
        <v>178</v>
      </c>
      <c r="C32" s="49" t="s">
        <v>179</v>
      </c>
      <c r="D32" s="49" t="s">
        <v>180</v>
      </c>
      <c r="E32" s="85" t="s">
        <v>181</v>
      </c>
      <c r="F32" s="179"/>
      <c r="G32" s="86" t="s">
        <v>182</v>
      </c>
      <c r="H32" s="49" t="s">
        <v>183</v>
      </c>
    </row>
    <row r="33" spans="2:8" ht="15.6" customHeight="1">
      <c r="B33" s="74">
        <f>IF(AND(B24&gt;=15,B24&lt;=70),1,IF(AND(B24&gt;70,B24&lt;=300),B24*0.015,IF(AND(B24&gt;300,B24&lt;=1000),6,IF(AND(B24&gt;1000),B24*0.005,1))))</f>
        <v>1</v>
      </c>
      <c r="C33" s="96">
        <f>IF(C24="","",C24-B24)</f>
        <v>0</v>
      </c>
      <c r="D33" s="96">
        <f>IF(D24="","",D24-B24)</f>
        <v>0</v>
      </c>
      <c r="E33" s="96" t="str">
        <f>IF(E24="","",E24-B24)</f>
        <v/>
      </c>
      <c r="F33" s="179"/>
      <c r="G33" s="92">
        <f>C33-D33</f>
        <v>0</v>
      </c>
      <c r="H33" s="88" t="e">
        <f t="shared" ref="H33:H40" si="6">C33-E33</f>
        <v>#VALUE!</v>
      </c>
    </row>
    <row r="34" spans="2:8" ht="15.6" customHeight="1">
      <c r="B34" s="74">
        <f t="shared" ref="B34:B40" si="7">IF(AND(B25&gt;=15,B25&lt;=70),1,IF(AND(B25&gt;70,B25&lt;=300),B25*0.015,IF(AND(B25&gt;300,B25&lt;=1000),6,IF(AND(B25&gt;1000),B25*0.005,1))))</f>
        <v>1</v>
      </c>
      <c r="C34" s="96">
        <f t="shared" ref="C34:C40" si="8">IF(C25="","",C25-B25)</f>
        <v>-7.0000000000000284E-2</v>
      </c>
      <c r="D34" s="96">
        <f t="shared" ref="D34:D40" si="9">IF(D25="","",D25-B25)</f>
        <v>1.0000000000001563E-2</v>
      </c>
      <c r="E34" s="96" t="str">
        <f t="shared" ref="E34:E40" si="10">IF(E25="","",E25-B25)</f>
        <v/>
      </c>
      <c r="F34" s="179"/>
      <c r="G34" s="92">
        <f>C34-D34</f>
        <v>-8.0000000000001847E-2</v>
      </c>
      <c r="H34" s="88" t="e">
        <f t="shared" si="6"/>
        <v>#VALUE!</v>
      </c>
    </row>
    <row r="35" spans="2:8" ht="15.6" customHeight="1">
      <c r="B35" s="74">
        <f t="shared" si="7"/>
        <v>1</v>
      </c>
      <c r="C35" s="96">
        <f t="shared" si="8"/>
        <v>-9.0000000000003411E-2</v>
      </c>
      <c r="D35" s="96">
        <f t="shared" si="9"/>
        <v>-4.9999999999997158E-2</v>
      </c>
      <c r="E35" s="96" t="str">
        <f t="shared" si="10"/>
        <v/>
      </c>
      <c r="F35" s="179"/>
      <c r="G35" s="92">
        <f t="shared" ref="G35:G40" si="11">C35-D35</f>
        <v>-4.0000000000006253E-2</v>
      </c>
      <c r="H35" s="88" t="e">
        <f t="shared" si="6"/>
        <v>#VALUE!</v>
      </c>
    </row>
    <row r="36" spans="2:8" ht="15.6" customHeight="1">
      <c r="B36" s="74">
        <f t="shared" si="7"/>
        <v>1</v>
      </c>
      <c r="C36" s="96">
        <f t="shared" si="8"/>
        <v>-7.9999999999998295E-2</v>
      </c>
      <c r="D36" s="96">
        <f t="shared" si="9"/>
        <v>-7.0000000000000284E-2</v>
      </c>
      <c r="E36" s="96" t="str">
        <f t="shared" si="10"/>
        <v/>
      </c>
      <c r="F36" s="179"/>
      <c r="G36" s="92">
        <f t="shared" si="11"/>
        <v>-9.9999999999980105E-3</v>
      </c>
      <c r="H36" s="88" t="e">
        <f t="shared" si="6"/>
        <v>#VALUE!</v>
      </c>
    </row>
    <row r="37" spans="2:8" ht="15.6" customHeight="1">
      <c r="B37" s="74">
        <f t="shared" si="7"/>
        <v>1.2</v>
      </c>
      <c r="C37" s="96">
        <f t="shared" si="8"/>
        <v>-4.0000000000006253E-2</v>
      </c>
      <c r="D37" s="96">
        <f t="shared" si="9"/>
        <v>1.9999999999996021E-2</v>
      </c>
      <c r="E37" s="96" t="str">
        <f t="shared" si="10"/>
        <v/>
      </c>
      <c r="F37" s="179"/>
      <c r="G37" s="92">
        <f t="shared" si="11"/>
        <v>-6.0000000000002274E-2</v>
      </c>
      <c r="H37" s="88" t="e">
        <f t="shared" si="6"/>
        <v>#VALUE!</v>
      </c>
    </row>
    <row r="38" spans="2:8" ht="15.6" customHeight="1">
      <c r="B38" s="74">
        <f t="shared" si="7"/>
        <v>1.5</v>
      </c>
      <c r="C38" s="96">
        <f t="shared" si="8"/>
        <v>-3.0000000000001137E-2</v>
      </c>
      <c r="D38" s="96">
        <f t="shared" si="9"/>
        <v>0</v>
      </c>
      <c r="E38" s="96" t="str">
        <f t="shared" si="10"/>
        <v/>
      </c>
      <c r="F38" s="179"/>
      <c r="G38" s="92">
        <f t="shared" si="11"/>
        <v>-3.0000000000001137E-2</v>
      </c>
      <c r="H38" s="88" t="e">
        <f t="shared" si="6"/>
        <v>#VALUE!</v>
      </c>
    </row>
    <row r="39" spans="2:8" ht="15.6" customHeight="1">
      <c r="B39" s="74">
        <f t="shared" si="7"/>
        <v>1.7999999999999998</v>
      </c>
      <c r="C39" s="96">
        <f t="shared" si="8"/>
        <v>3.0000000000001137E-2</v>
      </c>
      <c r="D39" s="96">
        <f t="shared" si="9"/>
        <v>-4.9999999999997158E-2</v>
      </c>
      <c r="E39" s="96" t="str">
        <f t="shared" si="10"/>
        <v/>
      </c>
      <c r="F39" s="179"/>
      <c r="G39" s="92">
        <f t="shared" si="11"/>
        <v>7.9999999999998295E-2</v>
      </c>
      <c r="H39" s="88" t="e">
        <f t="shared" si="6"/>
        <v>#VALUE!</v>
      </c>
    </row>
    <row r="40" spans="2:8" ht="15.6" customHeight="1">
      <c r="B40" s="74">
        <f t="shared" si="7"/>
        <v>2.1749999999999998</v>
      </c>
      <c r="C40" s="96">
        <f t="shared" si="8"/>
        <v>0</v>
      </c>
      <c r="D40" s="96">
        <f t="shared" si="9"/>
        <v>-0.16999999999998749</v>
      </c>
      <c r="E40" s="96" t="str">
        <f t="shared" si="10"/>
        <v/>
      </c>
      <c r="F40" s="180"/>
      <c r="G40" s="92">
        <f t="shared" si="11"/>
        <v>0.16999999999998749</v>
      </c>
      <c r="H40" s="88" t="e">
        <f t="shared" si="6"/>
        <v>#VALUE!</v>
      </c>
    </row>
    <row r="42" spans="2:8">
      <c r="B42" s="186" t="s">
        <v>191</v>
      </c>
      <c r="C42" s="186"/>
      <c r="D42" s="186"/>
      <c r="E42" s="186"/>
      <c r="F42" s="186"/>
    </row>
    <row r="43" spans="2:8">
      <c r="B43" s="185" t="s">
        <v>192</v>
      </c>
      <c r="C43" s="185"/>
      <c r="D43" s="185"/>
      <c r="E43" s="185"/>
      <c r="F43" s="185"/>
    </row>
    <row r="44" spans="2:8">
      <c r="B44" s="99" t="s">
        <v>193</v>
      </c>
      <c r="C44" s="99" t="s">
        <v>194</v>
      </c>
      <c r="D44" s="99" t="s">
        <v>195</v>
      </c>
      <c r="E44" s="99" t="s">
        <v>196</v>
      </c>
      <c r="F44" s="99" t="s">
        <v>197</v>
      </c>
    </row>
    <row r="45" spans="2:8">
      <c r="B45" s="42">
        <v>0</v>
      </c>
      <c r="C45" s="42">
        <v>0</v>
      </c>
      <c r="D45" s="42">
        <v>0</v>
      </c>
      <c r="E45" s="42">
        <v>0</v>
      </c>
      <c r="F45" s="42">
        <v>0</v>
      </c>
    </row>
    <row r="46" spans="2:8">
      <c r="B46" s="42">
        <v>19.989999999999998</v>
      </c>
      <c r="C46" s="42">
        <v>-0.06</v>
      </c>
      <c r="D46" s="42">
        <v>-0.06</v>
      </c>
      <c r="E46" s="42">
        <v>19.93</v>
      </c>
      <c r="F46" s="42">
        <v>19.93</v>
      </c>
    </row>
    <row r="47" spans="2:8">
      <c r="B47" s="42">
        <v>39.979999999999997</v>
      </c>
      <c r="C47" s="42">
        <v>-0.06</v>
      </c>
      <c r="D47" s="42">
        <v>-0.06</v>
      </c>
      <c r="E47" s="42">
        <v>39.909999999999997</v>
      </c>
      <c r="F47" s="42">
        <v>39.909999999999997</v>
      </c>
    </row>
    <row r="48" spans="2:8">
      <c r="B48" s="42">
        <v>60.01</v>
      </c>
      <c r="C48" s="42">
        <v>-0.09</v>
      </c>
      <c r="D48" s="42">
        <v>-0.09</v>
      </c>
      <c r="E48" s="42">
        <v>59.92</v>
      </c>
      <c r="F48" s="42">
        <v>59.92</v>
      </c>
    </row>
    <row r="49" spans="2:6">
      <c r="B49" s="42">
        <v>80.069999999999993</v>
      </c>
      <c r="C49" s="42">
        <v>-0.11</v>
      </c>
      <c r="D49" s="42">
        <v>-0.11</v>
      </c>
      <c r="E49" s="42">
        <v>79.959999999999994</v>
      </c>
      <c r="F49" s="42">
        <v>79.959999999999994</v>
      </c>
    </row>
    <row r="50" spans="2:6">
      <c r="B50" s="42">
        <v>100.03</v>
      </c>
      <c r="C50" s="42">
        <v>-0.06</v>
      </c>
      <c r="D50" s="42">
        <v>-0.06</v>
      </c>
      <c r="E50" s="42">
        <v>99.96</v>
      </c>
      <c r="F50" s="42">
        <v>99.97</v>
      </c>
    </row>
    <row r="51" spans="2:6">
      <c r="B51" s="42">
        <v>119.99</v>
      </c>
      <c r="C51" s="42">
        <v>0.04</v>
      </c>
      <c r="D51" s="42">
        <v>0.04</v>
      </c>
      <c r="E51" s="42">
        <v>120.03</v>
      </c>
      <c r="F51" s="42">
        <v>120.03</v>
      </c>
    </row>
    <row r="52" spans="2:6">
      <c r="B52" s="42">
        <v>144.83000000000001</v>
      </c>
      <c r="C52" s="42">
        <v>0.17</v>
      </c>
      <c r="D52" s="103">
        <v>0.17</v>
      </c>
      <c r="E52" s="103">
        <v>145</v>
      </c>
      <c r="F52" s="103">
        <v>145</v>
      </c>
    </row>
    <row r="53" spans="2:6">
      <c r="B53" s="185" t="s">
        <v>198</v>
      </c>
      <c r="C53" s="185"/>
      <c r="D53" s="185"/>
      <c r="E53" s="185"/>
      <c r="F53" s="185"/>
    </row>
    <row r="54" spans="2:6">
      <c r="B54" s="99" t="s">
        <v>193</v>
      </c>
      <c r="C54" s="99" t="s">
        <v>194</v>
      </c>
      <c r="D54" s="99" t="s">
        <v>195</v>
      </c>
      <c r="E54" s="99" t="s">
        <v>196</v>
      </c>
      <c r="F54" s="99" t="s">
        <v>197</v>
      </c>
    </row>
    <row r="55" spans="2:6">
      <c r="B55" s="42">
        <v>0</v>
      </c>
      <c r="C55" s="42">
        <v>0</v>
      </c>
      <c r="D55" s="42">
        <v>0</v>
      </c>
      <c r="E55" s="42">
        <v>0</v>
      </c>
      <c r="F55" s="42">
        <v>0</v>
      </c>
    </row>
    <row r="56" spans="2:6">
      <c r="B56" s="42">
        <v>19.989999999999998</v>
      </c>
      <c r="C56" s="42">
        <v>-0.06</v>
      </c>
      <c r="D56" s="42">
        <v>-0.06</v>
      </c>
      <c r="E56" s="42">
        <v>19.93</v>
      </c>
      <c r="F56" s="42">
        <v>19.93</v>
      </c>
    </row>
    <row r="57" spans="2:6">
      <c r="B57" s="42">
        <v>39.979999999999997</v>
      </c>
      <c r="C57" s="42">
        <v>-0.06</v>
      </c>
      <c r="D57" s="42">
        <v>-0.06</v>
      </c>
      <c r="E57" s="42">
        <v>39.909999999999997</v>
      </c>
      <c r="F57" s="42">
        <v>39.909999999999997</v>
      </c>
    </row>
    <row r="58" spans="2:6">
      <c r="B58" s="42">
        <v>60.01</v>
      </c>
      <c r="C58" s="42">
        <v>-0.09</v>
      </c>
      <c r="D58" s="42">
        <v>-0.09</v>
      </c>
      <c r="E58" s="42">
        <v>59.92</v>
      </c>
      <c r="F58" s="42">
        <v>59.92</v>
      </c>
    </row>
    <row r="59" spans="2:6">
      <c r="B59" s="42">
        <v>80.069999999999993</v>
      </c>
      <c r="C59" s="42">
        <v>-0.11</v>
      </c>
      <c r="D59" s="42">
        <v>-0.11</v>
      </c>
      <c r="E59" s="42">
        <v>79.959999999999994</v>
      </c>
      <c r="F59" s="42">
        <v>79.959999999999994</v>
      </c>
    </row>
    <row r="60" spans="2:6">
      <c r="B60" s="42">
        <v>100.03</v>
      </c>
      <c r="C60" s="42">
        <v>-0.06</v>
      </c>
      <c r="D60" s="42">
        <v>-0.06</v>
      </c>
      <c r="E60" s="42">
        <v>99.96</v>
      </c>
      <c r="F60" s="42">
        <v>99.97</v>
      </c>
    </row>
    <row r="61" spans="2:6">
      <c r="B61" s="42">
        <v>119.99</v>
      </c>
      <c r="C61" s="42">
        <v>0.04</v>
      </c>
      <c r="D61" s="42">
        <v>0.04</v>
      </c>
      <c r="E61" s="42">
        <v>120.03</v>
      </c>
      <c r="F61" s="42">
        <v>120.03</v>
      </c>
    </row>
    <row r="62" spans="2:6">
      <c r="B62" s="42">
        <v>144.83000000000001</v>
      </c>
      <c r="C62" s="42">
        <v>0.17</v>
      </c>
      <c r="D62" s="103">
        <v>0.17</v>
      </c>
      <c r="E62" s="103">
        <v>145</v>
      </c>
      <c r="F62" s="103">
        <v>145</v>
      </c>
    </row>
    <row r="63" spans="2:6">
      <c r="B63" s="185" t="s">
        <v>199</v>
      </c>
      <c r="C63" s="185"/>
      <c r="D63" s="185"/>
      <c r="E63" s="185"/>
      <c r="F63" s="185"/>
    </row>
    <row r="64" spans="2:6">
      <c r="B64" s="99" t="s">
        <v>193</v>
      </c>
      <c r="C64" s="99" t="s">
        <v>194</v>
      </c>
      <c r="D64" s="99" t="s">
        <v>195</v>
      </c>
      <c r="E64" s="99" t="s">
        <v>196</v>
      </c>
      <c r="F64" s="99" t="s">
        <v>197</v>
      </c>
    </row>
    <row r="65" spans="2:6">
      <c r="B65" s="42">
        <v>0</v>
      </c>
      <c r="C65" s="42">
        <v>0</v>
      </c>
      <c r="D65" s="42">
        <v>0</v>
      </c>
      <c r="E65" s="42">
        <v>0</v>
      </c>
      <c r="F65" s="42">
        <v>0</v>
      </c>
    </row>
    <row r="66" spans="2:6">
      <c r="B66" s="42">
        <v>0</v>
      </c>
      <c r="C66" s="42">
        <v>0</v>
      </c>
      <c r="D66" s="42">
        <v>0</v>
      </c>
      <c r="E66" s="42">
        <v>0</v>
      </c>
      <c r="F66" s="42">
        <v>0</v>
      </c>
    </row>
    <row r="67" spans="2:6">
      <c r="B67" s="42">
        <v>0</v>
      </c>
      <c r="C67" s="42">
        <v>0</v>
      </c>
      <c r="D67" s="42">
        <v>0</v>
      </c>
      <c r="E67" s="42">
        <v>0</v>
      </c>
      <c r="F67" s="42">
        <v>0</v>
      </c>
    </row>
    <row r="68" spans="2:6">
      <c r="B68" s="42">
        <v>0</v>
      </c>
      <c r="C68" s="42">
        <v>0</v>
      </c>
      <c r="D68" s="42">
        <v>0</v>
      </c>
      <c r="E68" s="42">
        <v>0</v>
      </c>
      <c r="F68" s="42">
        <v>0</v>
      </c>
    </row>
    <row r="69" spans="2:6">
      <c r="B69" s="42">
        <v>0</v>
      </c>
      <c r="C69" s="42">
        <v>0</v>
      </c>
      <c r="D69" s="42">
        <v>0</v>
      </c>
      <c r="E69" s="42">
        <v>0</v>
      </c>
      <c r="F69" s="42">
        <v>0</v>
      </c>
    </row>
    <row r="70" spans="2:6">
      <c r="B70" s="42">
        <v>0</v>
      </c>
      <c r="C70" s="42">
        <v>0</v>
      </c>
      <c r="D70" s="42">
        <v>0</v>
      </c>
      <c r="E70" s="42">
        <v>0</v>
      </c>
      <c r="F70" s="42">
        <v>0</v>
      </c>
    </row>
    <row r="71" spans="2:6">
      <c r="B71" s="42">
        <v>0</v>
      </c>
      <c r="C71" s="42">
        <v>0</v>
      </c>
      <c r="D71" s="42">
        <v>0</v>
      </c>
      <c r="E71" s="42">
        <v>0</v>
      </c>
      <c r="F71" s="42">
        <v>0</v>
      </c>
    </row>
    <row r="72" spans="2:6">
      <c r="B72" s="42">
        <v>0</v>
      </c>
      <c r="C72" s="42">
        <v>0</v>
      </c>
      <c r="D72" s="42">
        <v>0</v>
      </c>
      <c r="E72" s="42">
        <v>0</v>
      </c>
      <c r="F72" s="42">
        <v>0</v>
      </c>
    </row>
  </sheetData>
  <mergeCells count="15">
    <mergeCell ref="G9:G18"/>
    <mergeCell ref="H13:I18"/>
    <mergeCell ref="G3:G4"/>
    <mergeCell ref="H3:H4"/>
    <mergeCell ref="I3:I4"/>
    <mergeCell ref="B6:I6"/>
    <mergeCell ref="B7:I7"/>
    <mergeCell ref="B53:F53"/>
    <mergeCell ref="B63:F63"/>
    <mergeCell ref="B20:H20"/>
    <mergeCell ref="F23:F40"/>
    <mergeCell ref="G24:G31"/>
    <mergeCell ref="H24:H31"/>
    <mergeCell ref="B42:F42"/>
    <mergeCell ref="B43:F43"/>
  </mergeCells>
  <conditionalFormatting sqref="O8">
    <cfRule type="expression" dxfId="25" priority="1">
      <formula>" "</formula>
    </cfRule>
    <cfRule type="containsText" dxfId="24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DE27-6F96-4FEF-B7A9-31CDEE976D36}">
  <dimension ref="A2:L75"/>
  <sheetViews>
    <sheetView topLeftCell="A21" zoomScale="75" zoomScaleNormal="83" workbookViewId="0">
      <selection activeCell="F2" sqref="F2"/>
    </sheetView>
  </sheetViews>
  <sheetFormatPr defaultColWidth="11.42578125" defaultRowHeight="15"/>
  <cols>
    <col min="1" max="1" width="3.28515625" customWidth="1"/>
    <col min="2" max="2" width="17.28515625" customWidth="1"/>
    <col min="3" max="3" width="19.28515625" bestFit="1" customWidth="1"/>
    <col min="4" max="4" width="18.28515625" bestFit="1" customWidth="1"/>
    <col min="5" max="7" width="17.28515625" customWidth="1"/>
    <col min="8" max="8" width="17.85546875" customWidth="1"/>
    <col min="9" max="9" width="17.28515625" customWidth="1"/>
    <col min="10" max="10" width="15.5703125" customWidth="1"/>
    <col min="11" max="11" width="11.5703125" bestFit="1" customWidth="1"/>
    <col min="12" max="12" width="12.5703125" customWidth="1"/>
  </cols>
  <sheetData>
    <row r="2" spans="1:12" ht="60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186</v>
      </c>
      <c r="I2" s="49" t="s">
        <v>187</v>
      </c>
      <c r="J2" s="56"/>
    </row>
    <row r="3" spans="1:12" ht="28.9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>F4+5</f>
        <v>45906</v>
      </c>
      <c r="H3" s="183">
        <f ca="1">IF(TODAY()-$F$3&lt;=340,$F$4+120,"ERROR, CALIBRE EL PATRÓN")</f>
        <v>46021</v>
      </c>
      <c r="I3" s="183">
        <f ca="1">IF(TODAY()-$F$3&lt;=340,$F$4+240,"ERROR, CALIBRE EL PATRÓN")</f>
        <v>46141</v>
      </c>
      <c r="J3" s="39"/>
    </row>
    <row r="4" spans="1:12" ht="28.9" customHeight="1">
      <c r="B4" s="58" t="s">
        <v>165</v>
      </c>
      <c r="C4" s="42" t="s">
        <v>132</v>
      </c>
      <c r="D4" s="42">
        <v>3000</v>
      </c>
      <c r="E4" s="42">
        <v>2074022</v>
      </c>
      <c r="F4" s="50">
        <f>'CONTROL CALIBRACIONES'!G42</f>
        <v>45901</v>
      </c>
      <c r="G4" s="183"/>
      <c r="H4" s="183"/>
      <c r="I4" s="183"/>
      <c r="J4" s="39"/>
    </row>
    <row r="6" spans="1:12" s="51" customFormat="1" ht="29.45" customHeight="1">
      <c r="B6" s="171" t="s">
        <v>148</v>
      </c>
      <c r="C6" s="171"/>
      <c r="D6" s="171"/>
      <c r="E6" s="171"/>
      <c r="F6" s="171"/>
      <c r="G6" s="171"/>
      <c r="H6" s="171"/>
      <c r="I6" s="171"/>
      <c r="J6" s="71"/>
    </row>
    <row r="7" spans="1:12" s="51" customFormat="1" ht="3.6" customHeight="1">
      <c r="B7" s="195"/>
      <c r="C7" s="196"/>
      <c r="D7" s="196"/>
      <c r="E7" s="196"/>
      <c r="F7" s="196"/>
      <c r="G7" s="196"/>
      <c r="H7" s="196"/>
      <c r="I7" s="197"/>
    </row>
    <row r="8" spans="1:12" s="51" customFormat="1" ht="29.45" customHeight="1">
      <c r="B8" s="49" t="s">
        <v>149</v>
      </c>
      <c r="C8" s="49" t="s">
        <v>150</v>
      </c>
      <c r="D8" s="49" t="s">
        <v>188</v>
      </c>
      <c r="E8" s="49" t="s">
        <v>152</v>
      </c>
      <c r="F8" s="49" t="s">
        <v>153</v>
      </c>
      <c r="G8" s="49" t="s">
        <v>154</v>
      </c>
      <c r="H8" s="58" t="s">
        <v>166</v>
      </c>
      <c r="I8" s="42">
        <v>20.399999999999999</v>
      </c>
      <c r="K8" s="76" t="s">
        <v>155</v>
      </c>
      <c r="L8" s="42" t="s">
        <v>156</v>
      </c>
    </row>
    <row r="9" spans="1:12" s="51" customFormat="1" ht="29.45" customHeight="1">
      <c r="A9" s="51">
        <v>1</v>
      </c>
      <c r="B9" s="44">
        <v>0</v>
      </c>
      <c r="C9" s="44">
        <v>0</v>
      </c>
      <c r="D9" s="44">
        <f>B9-C9</f>
        <v>0</v>
      </c>
      <c r="E9" s="60">
        <v>6.4000000000000003E-3</v>
      </c>
      <c r="F9" s="44">
        <v>0.1</v>
      </c>
      <c r="G9" s="182" t="str">
        <f>IF(AND(ABS(D9)&lt;F9,ABS(D10)&lt;F10,ABS(D11)&lt;F11,ABS(D12)&lt;F12,ABS(D13)&lt;F13,ABS(D14)&lt;F14,ABS(D15)&lt;F15,ABS(D16)&lt;F16,ABS(D17)&lt;F17,ABS(D18)&lt;F18,ABS(D19)&lt;F19,ABS(D20)&lt;F20,ABS(D21)&lt;F21),"EQUIPO CUMPLE ESPECIFICACIÓN","EQUIPO NO CUMPLE ESPECIFICACIÓN")</f>
        <v>EQUIPO CUMPLE ESPECIFICACIÓN</v>
      </c>
      <c r="H9" s="58" t="s">
        <v>157</v>
      </c>
      <c r="I9" s="42">
        <v>746.2</v>
      </c>
      <c r="K9" s="42">
        <f>F9</f>
        <v>0.1</v>
      </c>
      <c r="L9" s="42">
        <f>-F9</f>
        <v>-0.1</v>
      </c>
    </row>
    <row r="10" spans="1:12" s="51" customFormat="1" ht="29.45" customHeight="1">
      <c r="A10" s="51">
        <v>2</v>
      </c>
      <c r="B10" s="44">
        <v>15</v>
      </c>
      <c r="C10" s="44">
        <v>16.510000000000002</v>
      </c>
      <c r="D10" s="44">
        <f t="shared" ref="D10:D21" si="0">B10-C10</f>
        <v>-1.5100000000000016</v>
      </c>
      <c r="E10" s="60">
        <v>0.21</v>
      </c>
      <c r="F10" s="44">
        <f>IF(AND(B10&gt;=15,B10&lt;=70),2,IF(AND(B10&gt;70,B10&lt;=300),B10*0.03,IF(AND(B10&gt;300,B10&lt;=1000),12,IF(AND(B10&gt;1000),B10*0.01,"Revisar"))))</f>
        <v>2</v>
      </c>
      <c r="G10" s="182"/>
      <c r="H10" s="58" t="s">
        <v>158</v>
      </c>
      <c r="I10" s="102">
        <v>0.66100000000000003</v>
      </c>
      <c r="K10" s="42">
        <f t="shared" ref="K10:K21" si="1">F10</f>
        <v>2</v>
      </c>
      <c r="L10" s="42">
        <f t="shared" ref="L10:L21" si="2">-F10</f>
        <v>-2</v>
      </c>
    </row>
    <row r="11" spans="1:12" s="51" customFormat="1" ht="29.45" customHeight="1">
      <c r="A11" s="51">
        <v>3</v>
      </c>
      <c r="B11" s="44">
        <v>50</v>
      </c>
      <c r="C11" s="44">
        <v>51.295000000000002</v>
      </c>
      <c r="D11" s="44">
        <f t="shared" si="0"/>
        <v>-1.2950000000000017</v>
      </c>
      <c r="E11" s="60">
        <v>8.6999999999999994E-2</v>
      </c>
      <c r="F11" s="44">
        <f t="shared" ref="F11:F21" si="3">IF(AND(B11&gt;=15,B11&lt;=70),2,IF(AND(B11&gt;70,B11&lt;=300),B11*0.03,IF(AND(B11&gt;300,B11&lt;=1000),12,IF(AND(B11&gt;1000),B11*0.01,"Revisar"))))</f>
        <v>2</v>
      </c>
      <c r="G11" s="182"/>
      <c r="H11" s="58" t="s">
        <v>159</v>
      </c>
      <c r="I11" s="42" t="s">
        <v>167</v>
      </c>
      <c r="K11" s="42">
        <f t="shared" si="1"/>
        <v>2</v>
      </c>
      <c r="L11" s="42">
        <f t="shared" si="2"/>
        <v>-2</v>
      </c>
    </row>
    <row r="12" spans="1:12" s="51" customFormat="1" ht="29.45" customHeight="1">
      <c r="A12" s="51">
        <v>4</v>
      </c>
      <c r="B12" s="44">
        <v>100</v>
      </c>
      <c r="C12" s="44">
        <v>101.47</v>
      </c>
      <c r="D12" s="44">
        <f t="shared" si="0"/>
        <v>-1.4699999999999989</v>
      </c>
      <c r="E12" s="60">
        <v>0.25</v>
      </c>
      <c r="F12" s="44">
        <f t="shared" si="3"/>
        <v>3</v>
      </c>
      <c r="G12" s="182"/>
      <c r="H12" s="58" t="s">
        <v>146</v>
      </c>
      <c r="I12" s="50">
        <f>F4</f>
        <v>45901</v>
      </c>
      <c r="K12" s="42">
        <f t="shared" si="1"/>
        <v>3</v>
      </c>
      <c r="L12" s="42">
        <f t="shared" si="2"/>
        <v>-3</v>
      </c>
    </row>
    <row r="13" spans="1:12" s="51" customFormat="1" ht="21" customHeight="1">
      <c r="A13" s="51">
        <v>5</v>
      </c>
      <c r="B13" s="44">
        <v>200</v>
      </c>
      <c r="C13" s="44">
        <v>201.09</v>
      </c>
      <c r="D13" s="44">
        <f t="shared" si="0"/>
        <v>-1.0900000000000034</v>
      </c>
      <c r="E13" s="60">
        <v>0.14000000000000001</v>
      </c>
      <c r="F13" s="44">
        <f t="shared" si="3"/>
        <v>6</v>
      </c>
      <c r="G13" s="182"/>
      <c r="H13" s="175" t="s">
        <v>161</v>
      </c>
      <c r="I13" s="175"/>
      <c r="K13" s="42">
        <f t="shared" si="1"/>
        <v>6</v>
      </c>
      <c r="L13" s="42">
        <f t="shared" si="2"/>
        <v>-6</v>
      </c>
    </row>
    <row r="14" spans="1:12" s="51" customFormat="1" ht="21" customHeight="1">
      <c r="A14" s="51">
        <v>6</v>
      </c>
      <c r="B14" s="44">
        <v>300</v>
      </c>
      <c r="C14" s="44">
        <v>302.42</v>
      </c>
      <c r="D14" s="44">
        <f t="shared" si="0"/>
        <v>-2.4200000000000159</v>
      </c>
      <c r="E14" s="60">
        <v>0.3</v>
      </c>
      <c r="F14" s="44">
        <f t="shared" si="3"/>
        <v>9</v>
      </c>
      <c r="G14" s="182"/>
      <c r="H14" s="175"/>
      <c r="I14" s="175"/>
      <c r="K14" s="42">
        <f t="shared" si="1"/>
        <v>9</v>
      </c>
      <c r="L14" s="42">
        <f t="shared" si="2"/>
        <v>-9</v>
      </c>
    </row>
    <row r="15" spans="1:12" s="51" customFormat="1" ht="21" customHeight="1">
      <c r="A15" s="51">
        <v>7</v>
      </c>
      <c r="B15" s="44">
        <v>400</v>
      </c>
      <c r="C15" s="58">
        <v>403.6</v>
      </c>
      <c r="D15" s="44">
        <f t="shared" si="0"/>
        <v>-3.6000000000000227</v>
      </c>
      <c r="E15" s="60">
        <v>0.28000000000000003</v>
      </c>
      <c r="F15" s="44">
        <f t="shared" si="3"/>
        <v>12</v>
      </c>
      <c r="G15" s="182"/>
      <c r="H15" s="175"/>
      <c r="I15" s="175"/>
      <c r="K15" s="42">
        <f t="shared" si="1"/>
        <v>12</v>
      </c>
      <c r="L15" s="42">
        <f t="shared" si="2"/>
        <v>-12</v>
      </c>
    </row>
    <row r="16" spans="1:12" s="51" customFormat="1" ht="21" customHeight="1">
      <c r="A16" s="51">
        <v>8</v>
      </c>
      <c r="B16" s="44">
        <v>500</v>
      </c>
      <c r="C16" s="44">
        <v>504.63</v>
      </c>
      <c r="D16" s="44">
        <f t="shared" si="0"/>
        <v>-4.6299999999999955</v>
      </c>
      <c r="E16" s="60">
        <v>0.2</v>
      </c>
      <c r="F16" s="44">
        <f t="shared" si="3"/>
        <v>12</v>
      </c>
      <c r="G16" s="182"/>
      <c r="H16" s="175"/>
      <c r="I16" s="175"/>
      <c r="K16" s="42">
        <f t="shared" si="1"/>
        <v>12</v>
      </c>
      <c r="L16" s="42">
        <f t="shared" si="2"/>
        <v>-12</v>
      </c>
    </row>
    <row r="17" spans="1:12" s="51" customFormat="1" ht="21" customHeight="1">
      <c r="A17" s="51">
        <v>9</v>
      </c>
      <c r="B17" s="44">
        <v>600</v>
      </c>
      <c r="C17" s="44">
        <v>604.91</v>
      </c>
      <c r="D17" s="44">
        <f t="shared" si="0"/>
        <v>-4.9099999999999682</v>
      </c>
      <c r="E17" s="60">
        <v>0.52</v>
      </c>
      <c r="F17" s="44">
        <f t="shared" si="3"/>
        <v>12</v>
      </c>
      <c r="G17" s="182"/>
      <c r="H17" s="175"/>
      <c r="I17" s="175"/>
      <c r="K17" s="42">
        <f t="shared" si="1"/>
        <v>12</v>
      </c>
      <c r="L17" s="42">
        <f t="shared" si="2"/>
        <v>-12</v>
      </c>
    </row>
    <row r="18" spans="1:12" s="51" customFormat="1" ht="21" customHeight="1">
      <c r="A18" s="51">
        <v>10</v>
      </c>
      <c r="B18" s="44">
        <v>700</v>
      </c>
      <c r="C18" s="44">
        <v>705.92</v>
      </c>
      <c r="D18" s="44">
        <f t="shared" si="0"/>
        <v>-5.9199999999999591</v>
      </c>
      <c r="E18" s="60">
        <v>0.87</v>
      </c>
      <c r="F18" s="44">
        <f t="shared" si="3"/>
        <v>12</v>
      </c>
      <c r="G18" s="182"/>
      <c r="H18" s="175"/>
      <c r="I18" s="175"/>
      <c r="K18" s="42">
        <f t="shared" si="1"/>
        <v>12</v>
      </c>
      <c r="L18" s="42">
        <f t="shared" si="2"/>
        <v>-12</v>
      </c>
    </row>
    <row r="19" spans="1:12" s="51" customFormat="1" ht="21" customHeight="1">
      <c r="A19" s="51">
        <v>11</v>
      </c>
      <c r="B19" s="44">
        <v>800</v>
      </c>
      <c r="C19" s="44">
        <v>806.13</v>
      </c>
      <c r="D19" s="44">
        <f t="shared" si="0"/>
        <v>-6.1299999999999955</v>
      </c>
      <c r="E19" s="60">
        <v>0.42</v>
      </c>
      <c r="F19" s="44">
        <f t="shared" si="3"/>
        <v>12</v>
      </c>
      <c r="G19" s="182"/>
      <c r="H19" s="175"/>
      <c r="I19" s="175"/>
      <c r="K19" s="42">
        <f t="shared" si="1"/>
        <v>12</v>
      </c>
      <c r="L19" s="42">
        <f t="shared" si="2"/>
        <v>-12</v>
      </c>
    </row>
    <row r="20" spans="1:12" s="51" customFormat="1" ht="21" customHeight="1">
      <c r="A20" s="51">
        <v>12</v>
      </c>
      <c r="B20" s="44">
        <v>900</v>
      </c>
      <c r="C20" s="44">
        <v>905.88</v>
      </c>
      <c r="D20" s="44">
        <f t="shared" si="0"/>
        <v>-5.8799999999999955</v>
      </c>
      <c r="E20" s="60">
        <v>0.64</v>
      </c>
      <c r="F20" s="44">
        <f t="shared" si="3"/>
        <v>12</v>
      </c>
      <c r="G20" s="182"/>
      <c r="H20" s="175"/>
      <c r="I20" s="175"/>
      <c r="K20" s="42">
        <f t="shared" si="1"/>
        <v>12</v>
      </c>
      <c r="L20" s="42">
        <f t="shared" si="2"/>
        <v>-12</v>
      </c>
    </row>
    <row r="21" spans="1:12" s="51" customFormat="1" ht="21" customHeight="1">
      <c r="A21" s="51">
        <v>13</v>
      </c>
      <c r="B21" s="44">
        <v>1000</v>
      </c>
      <c r="C21" s="44">
        <v>1006.37</v>
      </c>
      <c r="D21" s="44">
        <f t="shared" si="0"/>
        <v>-6.3700000000000045</v>
      </c>
      <c r="E21" s="60">
        <v>0.33</v>
      </c>
      <c r="F21" s="44">
        <f t="shared" si="3"/>
        <v>12</v>
      </c>
      <c r="G21" s="182"/>
      <c r="H21" s="175"/>
      <c r="I21" s="175"/>
      <c r="K21" s="42">
        <f t="shared" si="1"/>
        <v>12</v>
      </c>
      <c r="L21" s="42">
        <f t="shared" si="2"/>
        <v>-12</v>
      </c>
    </row>
    <row r="23" spans="1:12">
      <c r="B23" s="176" t="s">
        <v>168</v>
      </c>
      <c r="C23" s="177"/>
      <c r="D23" s="177"/>
      <c r="E23" s="177"/>
      <c r="F23" s="177"/>
      <c r="G23" s="177"/>
      <c r="H23" s="178"/>
      <c r="I23" s="71"/>
    </row>
    <row r="24" spans="1:12">
      <c r="B24" s="100" t="s">
        <v>169</v>
      </c>
      <c r="C24" s="79">
        <v>45905</v>
      </c>
      <c r="D24" s="79">
        <v>45924</v>
      </c>
      <c r="E24" s="79"/>
      <c r="F24" s="80"/>
      <c r="G24" s="81"/>
      <c r="H24" s="82"/>
      <c r="I24" s="51"/>
    </row>
    <row r="25" spans="1:12">
      <c r="B25" s="101" t="s">
        <v>170</v>
      </c>
      <c r="C25" s="72" t="s">
        <v>172</v>
      </c>
      <c r="D25" s="72" t="s">
        <v>171</v>
      </c>
      <c r="E25" s="72"/>
      <c r="F25" s="80"/>
      <c r="G25" s="83"/>
      <c r="H25" s="84"/>
      <c r="I25" s="51"/>
    </row>
    <row r="26" spans="1:12" ht="46.15" customHeight="1">
      <c r="B26" s="49" t="s">
        <v>149</v>
      </c>
      <c r="C26" s="49" t="s">
        <v>190</v>
      </c>
      <c r="D26" s="49" t="s">
        <v>173</v>
      </c>
      <c r="E26" s="85" t="s">
        <v>174</v>
      </c>
      <c r="F26" s="179"/>
      <c r="G26" s="86" t="s">
        <v>176</v>
      </c>
      <c r="H26" s="49" t="s">
        <v>177</v>
      </c>
      <c r="J26" s="76" t="s">
        <v>155</v>
      </c>
      <c r="K26" s="42" t="s">
        <v>156</v>
      </c>
    </row>
    <row r="27" spans="1:12" ht="15.6" customHeight="1">
      <c r="B27" s="74">
        <v>0</v>
      </c>
      <c r="C27" s="74">
        <v>0</v>
      </c>
      <c r="D27" s="96">
        <v>0</v>
      </c>
      <c r="E27" s="87"/>
      <c r="F27" s="179"/>
      <c r="G27" s="181" t="str">
        <f>IF(AND(ABS(G36)&lt;$B$36,ABS(G37)&lt;$B$37,ABS(G38)&lt;$B$38,ABS(G39)&lt;$B$39,ABS(G40)&lt;$B$40,ABS(G41)&lt;$B$41,ABS(G42)&lt;$B$42,ABS(G43)&lt;$B$43),"EQUIPO SE ENCUENTRA COMPROBADO","EQUIPO TIENE ALGUNA AFECTACIÓN, ENVIAR A REVISIÓN")</f>
        <v>EQUIPO SE ENCUENTRA COMPROBADO</v>
      </c>
      <c r="H27" s="182" t="e">
        <f>IF(AND(ABS(H36)&lt;$B$36,ABS(H37)&lt;$B$37,ABS(H38)&lt;$B$38,ABS(H39)&lt;$B$39,ABS(H40)&lt;$B$40,ABS(H41)&lt;$B$41,ABS(H42)&lt;$B$42,ABS(H43)&lt;$B$43),"EQUIPO SE ENCUENTRA COMPROBADO","EQUIPO TIENE ALGUNA AFECTACIÓN, ENVIAR A REVISIÓN")</f>
        <v>#VALUE!</v>
      </c>
      <c r="J27" s="88">
        <f>B36</f>
        <v>1</v>
      </c>
      <c r="K27" s="88">
        <f t="shared" ref="K27:K34" si="4">-B36</f>
        <v>-1</v>
      </c>
    </row>
    <row r="28" spans="1:12" ht="15.6" customHeight="1">
      <c r="B28" s="74">
        <v>142</v>
      </c>
      <c r="C28" s="96">
        <v>141.08000000000001</v>
      </c>
      <c r="D28" s="96">
        <v>141.25</v>
      </c>
      <c r="E28" s="87"/>
      <c r="F28" s="179"/>
      <c r="G28" s="181"/>
      <c r="H28" s="182"/>
      <c r="J28" s="88">
        <f t="shared" ref="J28:J34" si="5">B37</f>
        <v>2.13</v>
      </c>
      <c r="K28" s="88">
        <f t="shared" si="4"/>
        <v>-2.13</v>
      </c>
    </row>
    <row r="29" spans="1:12" ht="15.6" customHeight="1">
      <c r="B29" s="74">
        <v>284</v>
      </c>
      <c r="C29" s="96">
        <v>283.85000000000002</v>
      </c>
      <c r="D29" s="96">
        <v>284.27999999999997</v>
      </c>
      <c r="E29" s="87"/>
      <c r="F29" s="179"/>
      <c r="G29" s="181"/>
      <c r="H29" s="182"/>
      <c r="J29" s="88">
        <f t="shared" si="5"/>
        <v>4.26</v>
      </c>
      <c r="K29" s="88">
        <f t="shared" si="4"/>
        <v>-4.26</v>
      </c>
    </row>
    <row r="30" spans="1:12" ht="15.6" customHeight="1">
      <c r="B30" s="74">
        <v>426</v>
      </c>
      <c r="C30" s="96">
        <v>425</v>
      </c>
      <c r="D30" s="96">
        <v>424.51</v>
      </c>
      <c r="E30" s="87"/>
      <c r="F30" s="179"/>
      <c r="G30" s="181"/>
      <c r="H30" s="182"/>
      <c r="J30" s="88">
        <f t="shared" si="5"/>
        <v>5</v>
      </c>
      <c r="K30" s="88">
        <f t="shared" si="4"/>
        <v>-5</v>
      </c>
    </row>
    <row r="31" spans="1:12" ht="15.6" customHeight="1">
      <c r="B31" s="74">
        <v>568</v>
      </c>
      <c r="C31" s="97">
        <v>566.84</v>
      </c>
      <c r="D31" s="97">
        <v>566.35</v>
      </c>
      <c r="E31" s="90"/>
      <c r="F31" s="179"/>
      <c r="G31" s="181"/>
      <c r="H31" s="182"/>
      <c r="J31" s="88">
        <f t="shared" si="5"/>
        <v>5</v>
      </c>
      <c r="K31" s="88">
        <f t="shared" si="4"/>
        <v>-5</v>
      </c>
    </row>
    <row r="32" spans="1:12" ht="15.6" customHeight="1">
      <c r="B32" s="74">
        <v>710</v>
      </c>
      <c r="C32" s="96">
        <v>708.8</v>
      </c>
      <c r="D32" s="96">
        <v>708.48</v>
      </c>
      <c r="E32" s="87"/>
      <c r="F32" s="179"/>
      <c r="G32" s="181"/>
      <c r="H32" s="182"/>
      <c r="J32" s="88">
        <f t="shared" si="5"/>
        <v>5</v>
      </c>
      <c r="K32" s="88">
        <f t="shared" si="4"/>
        <v>-5</v>
      </c>
    </row>
    <row r="33" spans="2:11" ht="15.6" customHeight="1">
      <c r="B33" s="74">
        <v>852</v>
      </c>
      <c r="C33" s="96">
        <v>851.07</v>
      </c>
      <c r="D33" s="96">
        <v>850.9</v>
      </c>
      <c r="E33" s="87"/>
      <c r="F33" s="179"/>
      <c r="G33" s="181"/>
      <c r="H33" s="182"/>
      <c r="J33" s="88">
        <f t="shared" si="5"/>
        <v>5</v>
      </c>
      <c r="K33" s="88">
        <f t="shared" si="4"/>
        <v>-5</v>
      </c>
    </row>
    <row r="34" spans="2:11" ht="15.6" customHeight="1">
      <c r="B34" s="74">
        <v>1000</v>
      </c>
      <c r="C34" s="96">
        <v>999.4</v>
      </c>
      <c r="D34" s="96">
        <v>999.99</v>
      </c>
      <c r="E34" s="87"/>
      <c r="F34" s="179"/>
      <c r="G34" s="181"/>
      <c r="H34" s="182"/>
      <c r="J34" s="88">
        <f t="shared" si="5"/>
        <v>5</v>
      </c>
      <c r="K34" s="88">
        <f t="shared" si="4"/>
        <v>-5</v>
      </c>
    </row>
    <row r="35" spans="2:11" ht="45.75">
      <c r="B35" s="106" t="s">
        <v>178</v>
      </c>
      <c r="C35" s="49" t="s">
        <v>200</v>
      </c>
      <c r="D35" s="49" t="s">
        <v>180</v>
      </c>
      <c r="E35" s="85" t="s">
        <v>181</v>
      </c>
      <c r="F35" s="179"/>
      <c r="G35" s="86" t="s">
        <v>182</v>
      </c>
      <c r="H35" s="49" t="s">
        <v>183</v>
      </c>
    </row>
    <row r="36" spans="2:11" ht="15.6" customHeight="1">
      <c r="B36" s="74">
        <f>IF(AND(B27&gt;=15,B27&lt;=70),1,IF(AND(B27&gt;70,B27&lt;=300),B27*0.015,IF(AND(B27&gt;300,B27&lt;=1000),5,IF(AND(B27&gt;1000),B27*0.005,1))))</f>
        <v>1</v>
      </c>
      <c r="C36" s="96">
        <f>C27-$B$27</f>
        <v>0</v>
      </c>
      <c r="D36" s="96">
        <f>D27-B27</f>
        <v>0</v>
      </c>
      <c r="E36" s="87" t="str">
        <f>IF(E27="","",E27-B27)</f>
        <v/>
      </c>
      <c r="F36" s="179"/>
      <c r="G36" s="107">
        <f>C36-D36</f>
        <v>0</v>
      </c>
      <c r="H36" s="88" t="str">
        <f>IF(E27="","",C36-E36)</f>
        <v/>
      </c>
    </row>
    <row r="37" spans="2:11" ht="15.6" customHeight="1">
      <c r="B37" s="74">
        <f t="shared" ref="B37:B43" si="6">IF(AND(B28&gt;=15,B28&lt;=70),1,IF(AND(B28&gt;70,B28&lt;=300),B28*0.015,IF(AND(B28&gt;300,B28&lt;=1000),5,IF(AND(B28&gt;1000),B28*0.005,1))))</f>
        <v>2.13</v>
      </c>
      <c r="C37" s="96">
        <f>C28-$B$28</f>
        <v>-0.91999999999998749</v>
      </c>
      <c r="D37" s="96">
        <f t="shared" ref="D37:D43" si="7">D28-B28</f>
        <v>-0.75</v>
      </c>
      <c r="E37" s="87" t="str">
        <f t="shared" ref="E37:E43" si="8">IF(E28="","",E28-B28)</f>
        <v/>
      </c>
      <c r="F37" s="179"/>
      <c r="G37" s="107">
        <f>C37-D37</f>
        <v>-0.16999999999998749</v>
      </c>
      <c r="H37" s="88" t="str">
        <f t="shared" ref="H37:H43" si="9">IF(E28="","",C37-E37)</f>
        <v/>
      </c>
    </row>
    <row r="38" spans="2:11" ht="15.6" customHeight="1">
      <c r="B38" s="74">
        <f t="shared" si="6"/>
        <v>4.26</v>
      </c>
      <c r="C38" s="96">
        <f>C29-$B$29</f>
        <v>-0.14999999999997726</v>
      </c>
      <c r="D38" s="96">
        <f t="shared" si="7"/>
        <v>0.27999999999997272</v>
      </c>
      <c r="E38" s="87" t="str">
        <f t="shared" si="8"/>
        <v/>
      </c>
      <c r="F38" s="179"/>
      <c r="G38" s="107">
        <f t="shared" ref="G38:G43" si="10">C38-D38</f>
        <v>-0.42999999999994998</v>
      </c>
      <c r="H38" s="88" t="str">
        <f t="shared" si="9"/>
        <v/>
      </c>
    </row>
    <row r="39" spans="2:11" ht="15.6" customHeight="1">
      <c r="B39" s="74">
        <f t="shared" si="6"/>
        <v>5</v>
      </c>
      <c r="C39" s="96">
        <f>C30-$B$30</f>
        <v>-1</v>
      </c>
      <c r="D39" s="96">
        <f t="shared" si="7"/>
        <v>-1.4900000000000091</v>
      </c>
      <c r="E39" s="87" t="str">
        <f t="shared" si="8"/>
        <v/>
      </c>
      <c r="F39" s="179"/>
      <c r="G39" s="107">
        <f t="shared" si="10"/>
        <v>0.49000000000000909</v>
      </c>
      <c r="H39" s="88" t="str">
        <f t="shared" si="9"/>
        <v/>
      </c>
    </row>
    <row r="40" spans="2:11" ht="15.6" customHeight="1">
      <c r="B40" s="74">
        <f t="shared" si="6"/>
        <v>5</v>
      </c>
      <c r="C40" s="96">
        <f>C31-$B$31</f>
        <v>-1.1599999999999682</v>
      </c>
      <c r="D40" s="96">
        <f t="shared" si="7"/>
        <v>-1.6499999999999773</v>
      </c>
      <c r="E40" s="87" t="str">
        <f t="shared" si="8"/>
        <v/>
      </c>
      <c r="F40" s="179"/>
      <c r="G40" s="107">
        <f t="shared" si="10"/>
        <v>0.49000000000000909</v>
      </c>
      <c r="H40" s="88" t="str">
        <f t="shared" si="9"/>
        <v/>
      </c>
    </row>
    <row r="41" spans="2:11" ht="15.6" customHeight="1">
      <c r="B41" s="74">
        <f t="shared" si="6"/>
        <v>5</v>
      </c>
      <c r="C41" s="96">
        <f>C32-$B$32</f>
        <v>-1.2000000000000455</v>
      </c>
      <c r="D41" s="96">
        <f t="shared" si="7"/>
        <v>-1.5199999999999818</v>
      </c>
      <c r="E41" s="87" t="str">
        <f t="shared" si="8"/>
        <v/>
      </c>
      <c r="F41" s="179"/>
      <c r="G41" s="107">
        <f t="shared" si="10"/>
        <v>0.31999999999993634</v>
      </c>
      <c r="H41" s="88" t="str">
        <f t="shared" si="9"/>
        <v/>
      </c>
    </row>
    <row r="42" spans="2:11" ht="15.6" customHeight="1">
      <c r="B42" s="74">
        <f t="shared" si="6"/>
        <v>5</v>
      </c>
      <c r="C42" s="96">
        <f>C33-$B$33</f>
        <v>-0.92999999999994998</v>
      </c>
      <c r="D42" s="96">
        <f t="shared" si="7"/>
        <v>-1.1000000000000227</v>
      </c>
      <c r="E42" s="87" t="str">
        <f t="shared" si="8"/>
        <v/>
      </c>
      <c r="F42" s="179"/>
      <c r="G42" s="107">
        <f t="shared" si="10"/>
        <v>0.17000000000007276</v>
      </c>
      <c r="H42" s="88" t="str">
        <f t="shared" si="9"/>
        <v/>
      </c>
    </row>
    <row r="43" spans="2:11" ht="15.6" customHeight="1">
      <c r="B43" s="74">
        <f t="shared" si="6"/>
        <v>5</v>
      </c>
      <c r="C43" s="96">
        <f>C34-$B$34</f>
        <v>-0.60000000000002274</v>
      </c>
      <c r="D43" s="96">
        <f t="shared" si="7"/>
        <v>-9.9999999999909051E-3</v>
      </c>
      <c r="E43" s="87" t="str">
        <f t="shared" si="8"/>
        <v/>
      </c>
      <c r="F43" s="180"/>
      <c r="G43" s="107">
        <f t="shared" si="10"/>
        <v>-0.59000000000003183</v>
      </c>
      <c r="H43" s="88" t="str">
        <f t="shared" si="9"/>
        <v/>
      </c>
    </row>
    <row r="45" spans="2:11">
      <c r="B45" s="186" t="s">
        <v>191</v>
      </c>
      <c r="C45" s="186"/>
      <c r="D45" s="186"/>
      <c r="E45" s="186"/>
      <c r="F45" s="186"/>
    </row>
    <row r="46" spans="2:11">
      <c r="B46" s="185" t="s">
        <v>192</v>
      </c>
      <c r="C46" s="185"/>
      <c r="D46" s="185"/>
      <c r="E46" s="185"/>
      <c r="F46" s="185"/>
    </row>
    <row r="47" spans="2:11">
      <c r="B47" s="99" t="s">
        <v>193</v>
      </c>
      <c r="C47" s="99" t="s">
        <v>194</v>
      </c>
      <c r="D47" s="99" t="s">
        <v>195</v>
      </c>
      <c r="E47" s="99" t="s">
        <v>196</v>
      </c>
      <c r="F47" s="99" t="s">
        <v>197</v>
      </c>
    </row>
    <row r="48" spans="2:11">
      <c r="B48" s="103">
        <v>0.54</v>
      </c>
      <c r="C48" s="103">
        <v>-0.54</v>
      </c>
      <c r="D48" s="103">
        <v>-0.54</v>
      </c>
      <c r="E48" s="103">
        <v>0</v>
      </c>
      <c r="F48" s="103">
        <v>0</v>
      </c>
    </row>
    <row r="49" spans="2:6">
      <c r="B49" s="103">
        <v>142.54</v>
      </c>
      <c r="C49" s="103">
        <v>-1.46</v>
      </c>
      <c r="D49" s="103">
        <v>-1.46</v>
      </c>
      <c r="E49" s="103">
        <v>141.08000000000001</v>
      </c>
      <c r="F49" s="103">
        <v>141.08000000000001</v>
      </c>
    </row>
    <row r="50" spans="2:6">
      <c r="B50" s="103">
        <v>285.87</v>
      </c>
      <c r="C50" s="103">
        <v>-2.02</v>
      </c>
      <c r="D50" s="103">
        <v>-2.02</v>
      </c>
      <c r="E50" s="103">
        <v>283.85000000000002</v>
      </c>
      <c r="F50" s="103">
        <v>283.85000000000002</v>
      </c>
    </row>
    <row r="51" spans="2:6">
      <c r="B51" s="103">
        <v>428.71</v>
      </c>
      <c r="C51" s="103">
        <v>-3.71</v>
      </c>
      <c r="D51" s="103">
        <v>-3.71</v>
      </c>
      <c r="E51" s="103">
        <v>425</v>
      </c>
      <c r="F51" s="103">
        <v>425</v>
      </c>
    </row>
    <row r="52" spans="2:6" ht="15.6" customHeight="1">
      <c r="B52" s="103">
        <v>572.04</v>
      </c>
      <c r="C52" s="103">
        <v>-5.2</v>
      </c>
      <c r="D52" s="103">
        <v>-5.2</v>
      </c>
      <c r="E52" s="103">
        <v>566.84</v>
      </c>
      <c r="F52" s="103">
        <v>566.84</v>
      </c>
    </row>
    <row r="53" spans="2:6">
      <c r="B53" s="103">
        <v>714.54</v>
      </c>
      <c r="C53" s="103">
        <v>-5.73</v>
      </c>
      <c r="D53" s="103">
        <v>-5.73</v>
      </c>
      <c r="E53" s="103">
        <v>708.8</v>
      </c>
      <c r="F53" s="103">
        <v>708.8</v>
      </c>
    </row>
    <row r="54" spans="2:6">
      <c r="B54" s="103">
        <v>857.04</v>
      </c>
      <c r="C54" s="103">
        <v>-5.97</v>
      </c>
      <c r="D54" s="103">
        <v>-5.97</v>
      </c>
      <c r="E54" s="103">
        <v>851.06</v>
      </c>
      <c r="F54" s="103">
        <v>851.07</v>
      </c>
    </row>
    <row r="55" spans="2:6">
      <c r="B55" s="103">
        <v>1005.71</v>
      </c>
      <c r="C55" s="103">
        <v>-6.31</v>
      </c>
      <c r="D55" s="103">
        <v>-6.31</v>
      </c>
      <c r="E55" s="103">
        <v>999.4</v>
      </c>
      <c r="F55" s="103">
        <v>999.4</v>
      </c>
    </row>
    <row r="56" spans="2:6">
      <c r="B56" s="185" t="s">
        <v>198</v>
      </c>
      <c r="C56" s="185"/>
      <c r="D56" s="185"/>
      <c r="E56" s="185"/>
      <c r="F56" s="185"/>
    </row>
    <row r="57" spans="2:6">
      <c r="B57" s="99" t="s">
        <v>193</v>
      </c>
      <c r="C57" s="99" t="s">
        <v>201</v>
      </c>
      <c r="D57" s="99" t="s">
        <v>195</v>
      </c>
      <c r="E57" s="99" t="s">
        <v>196</v>
      </c>
      <c r="F57" s="99" t="s">
        <v>197</v>
      </c>
    </row>
    <row r="58" spans="2:6">
      <c r="B58" s="42">
        <v>0.54</v>
      </c>
      <c r="C58" s="42">
        <v>-0.54</v>
      </c>
      <c r="D58" s="42">
        <v>-0.54</v>
      </c>
      <c r="E58" s="42">
        <v>0</v>
      </c>
      <c r="F58" s="42">
        <v>0</v>
      </c>
    </row>
    <row r="59" spans="2:6">
      <c r="B59" s="42">
        <v>142.71</v>
      </c>
      <c r="C59" s="42">
        <v>-1.46</v>
      </c>
      <c r="D59" s="42">
        <v>-1.46</v>
      </c>
      <c r="E59" s="42">
        <v>141.25</v>
      </c>
      <c r="F59" s="42">
        <v>141.25</v>
      </c>
    </row>
    <row r="60" spans="2:6">
      <c r="B60" s="42">
        <v>285.54000000000002</v>
      </c>
      <c r="C60" s="42">
        <v>-2.02</v>
      </c>
      <c r="D60" s="42">
        <v>-2.02</v>
      </c>
      <c r="E60" s="42">
        <v>283.52</v>
      </c>
      <c r="F60" s="42">
        <v>283.52</v>
      </c>
    </row>
    <row r="61" spans="2:6">
      <c r="B61" s="42">
        <v>428.21</v>
      </c>
      <c r="C61" s="42">
        <v>-3.7</v>
      </c>
      <c r="D61" s="42">
        <v>-3.7</v>
      </c>
      <c r="E61" s="42">
        <v>424.51</v>
      </c>
      <c r="F61" s="42">
        <v>424.51</v>
      </c>
    </row>
    <row r="62" spans="2:6">
      <c r="B62" s="42">
        <v>571.54</v>
      </c>
      <c r="C62" s="42">
        <v>-5.19</v>
      </c>
      <c r="D62" s="42">
        <v>-5.19</v>
      </c>
      <c r="E62" s="42">
        <v>566.35</v>
      </c>
      <c r="F62" s="42">
        <v>566.35</v>
      </c>
    </row>
    <row r="63" spans="2:6">
      <c r="B63" s="42">
        <v>714.21</v>
      </c>
      <c r="C63" s="42">
        <v>-5.73</v>
      </c>
      <c r="D63" s="42">
        <v>-5.73</v>
      </c>
      <c r="E63" s="42">
        <v>708.48</v>
      </c>
      <c r="F63" s="42">
        <v>708.48</v>
      </c>
    </row>
    <row r="64" spans="2:6">
      <c r="B64" s="42">
        <v>856.87</v>
      </c>
      <c r="C64" s="42">
        <v>-5.97</v>
      </c>
      <c r="D64" s="42">
        <v>-5.97</v>
      </c>
      <c r="E64" s="42">
        <v>850.9</v>
      </c>
      <c r="F64" s="42">
        <v>850.9</v>
      </c>
    </row>
    <row r="65" spans="2:6">
      <c r="B65" s="42">
        <v>1005.37</v>
      </c>
      <c r="C65" s="42">
        <v>-6.31</v>
      </c>
      <c r="D65" s="42">
        <v>-6.31</v>
      </c>
      <c r="E65" s="42">
        <v>999.06</v>
      </c>
      <c r="F65" s="42">
        <v>999.06</v>
      </c>
    </row>
    <row r="66" spans="2:6">
      <c r="B66" s="185" t="s">
        <v>199</v>
      </c>
      <c r="C66" s="185"/>
      <c r="D66" s="185"/>
      <c r="E66" s="185"/>
      <c r="F66" s="185"/>
    </row>
    <row r="67" spans="2:6">
      <c r="B67" s="99" t="s">
        <v>193</v>
      </c>
      <c r="C67" s="99" t="s">
        <v>194</v>
      </c>
      <c r="D67" s="99" t="s">
        <v>195</v>
      </c>
      <c r="E67" s="99" t="s">
        <v>196</v>
      </c>
      <c r="F67" s="99" t="s">
        <v>197</v>
      </c>
    </row>
    <row r="68" spans="2:6">
      <c r="B68" s="42">
        <v>0</v>
      </c>
      <c r="C68" s="42">
        <v>0</v>
      </c>
      <c r="D68" s="42">
        <v>0</v>
      </c>
      <c r="E68" s="42">
        <v>0</v>
      </c>
      <c r="F68" s="42">
        <v>0</v>
      </c>
    </row>
    <row r="69" spans="2:6">
      <c r="B69" s="42">
        <v>0</v>
      </c>
      <c r="C69" s="42">
        <v>0</v>
      </c>
      <c r="D69" s="42">
        <v>0</v>
      </c>
      <c r="E69" s="42">
        <v>0</v>
      </c>
      <c r="F69" s="42">
        <v>0</v>
      </c>
    </row>
    <row r="70" spans="2:6">
      <c r="B70" s="42">
        <v>0</v>
      </c>
      <c r="C70" s="42">
        <v>0</v>
      </c>
      <c r="D70" s="42">
        <v>0</v>
      </c>
      <c r="E70" s="42">
        <v>0</v>
      </c>
      <c r="F70" s="42">
        <v>0</v>
      </c>
    </row>
    <row r="71" spans="2:6">
      <c r="B71" s="42">
        <v>0</v>
      </c>
      <c r="C71" s="42">
        <v>0</v>
      </c>
      <c r="D71" s="42">
        <v>0</v>
      </c>
      <c r="E71" s="42">
        <v>0</v>
      </c>
      <c r="F71" s="42">
        <v>0</v>
      </c>
    </row>
    <row r="72" spans="2:6">
      <c r="B72" s="42">
        <v>0</v>
      </c>
      <c r="C72" s="42">
        <v>0</v>
      </c>
      <c r="D72" s="42">
        <v>0</v>
      </c>
      <c r="E72" s="42">
        <v>0</v>
      </c>
      <c r="F72" s="42">
        <v>0</v>
      </c>
    </row>
    <row r="73" spans="2:6">
      <c r="B73" s="42">
        <v>0</v>
      </c>
      <c r="C73" s="42">
        <v>0</v>
      </c>
      <c r="D73" s="42">
        <v>0</v>
      </c>
      <c r="E73" s="42">
        <v>0</v>
      </c>
      <c r="F73" s="42">
        <v>0</v>
      </c>
    </row>
    <row r="74" spans="2:6">
      <c r="B74" s="42">
        <v>0</v>
      </c>
      <c r="C74" s="42">
        <v>0</v>
      </c>
      <c r="D74" s="42">
        <v>0</v>
      </c>
      <c r="E74" s="42">
        <v>0</v>
      </c>
      <c r="F74" s="42">
        <v>0</v>
      </c>
    </row>
    <row r="75" spans="2:6">
      <c r="B75" s="42">
        <v>0</v>
      </c>
      <c r="C75" s="42">
        <v>0</v>
      </c>
      <c r="D75" s="42">
        <v>0</v>
      </c>
      <c r="E75" s="42">
        <v>0</v>
      </c>
      <c r="F75" s="42">
        <v>0</v>
      </c>
    </row>
  </sheetData>
  <mergeCells count="15">
    <mergeCell ref="G9:G21"/>
    <mergeCell ref="H13:I21"/>
    <mergeCell ref="G3:G4"/>
    <mergeCell ref="H3:H4"/>
    <mergeCell ref="I3:I4"/>
    <mergeCell ref="B6:I6"/>
    <mergeCell ref="B7:I7"/>
    <mergeCell ref="B56:F56"/>
    <mergeCell ref="B66:F66"/>
    <mergeCell ref="B23:H23"/>
    <mergeCell ref="F26:F43"/>
    <mergeCell ref="G27:G34"/>
    <mergeCell ref="H27:H34"/>
    <mergeCell ref="B45:F45"/>
    <mergeCell ref="B46:F46"/>
  </mergeCells>
  <phoneticPr fontId="2" type="noConversion"/>
  <conditionalFormatting sqref="O8">
    <cfRule type="expression" dxfId="23" priority="1">
      <formula>" "</formula>
    </cfRule>
    <cfRule type="containsText" dxfId="22" priority="2" operator="containsText" text="&quot;&quot;">
      <formula>NOT(ISERROR(SEARCH("""""",O8)))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7626-94CD-4B8C-AB7C-A82963B4A807}">
  <dimension ref="A2:L74"/>
  <sheetViews>
    <sheetView zoomScale="85" zoomScaleNormal="85" workbookViewId="0">
      <selection activeCell="F4" sqref="F4"/>
    </sheetView>
  </sheetViews>
  <sheetFormatPr defaultColWidth="11.42578125" defaultRowHeight="15"/>
  <cols>
    <col min="1" max="1" width="3.28515625" customWidth="1"/>
    <col min="2" max="2" width="17.28515625" customWidth="1"/>
    <col min="3" max="3" width="19.28515625" bestFit="1" customWidth="1"/>
    <col min="4" max="4" width="18.28515625" bestFit="1" customWidth="1"/>
    <col min="5" max="6" width="17.28515625" customWidth="1"/>
    <col min="7" max="7" width="19.42578125" customWidth="1"/>
    <col min="8" max="9" width="17.28515625" customWidth="1"/>
    <col min="10" max="10" width="15.5703125" customWidth="1"/>
    <col min="11" max="11" width="11.5703125" bestFit="1" customWidth="1"/>
    <col min="12" max="12" width="12.5703125" customWidth="1"/>
  </cols>
  <sheetData>
    <row r="2" spans="1:12" ht="52.15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186</v>
      </c>
      <c r="I2" s="49" t="s">
        <v>187</v>
      </c>
      <c r="J2" s="56"/>
    </row>
    <row r="3" spans="1:12" ht="16.899999999999999" customHeight="1">
      <c r="B3" s="44" t="s">
        <v>147</v>
      </c>
      <c r="C3" s="42" t="s">
        <v>23</v>
      </c>
      <c r="D3" s="42" t="str">
        <f>IF($C$3='CONTROL CALIBRACIONES'!$C$14,'CONTROL CALIBRACIONES'!E14,IF($C$3='CONTROL CALIBRACIONES'!$C$15,'CONTROL CALIBRACIONES'!E15,'CONTROL CALIBRACIONES'!E16))</f>
        <v>XP2i</v>
      </c>
      <c r="E3" s="42">
        <f>IF($C$3='CONTROL CALIBRACIONES'!$C$14,'CONTROL CALIBRACIONES'!F14,IF($C$3='CONTROL CALIBRACIONES'!$C$15,'CONTROL CALIBRACIONES'!F15,'CONTROL CALIBRACIONES'!F16))</f>
        <v>357309</v>
      </c>
      <c r="F3" s="50">
        <f>'CONTROL CALIBRACIONES'!G14</f>
        <v>45681</v>
      </c>
      <c r="G3" s="183">
        <f>F4+5</f>
        <v>45902</v>
      </c>
      <c r="H3" s="183">
        <f ca="1">IF(TODAY()-$F$3&lt;=340,$F$4+120,"ERROR, CALIBRE EL PATRÓN")</f>
        <v>46017</v>
      </c>
      <c r="I3" s="183">
        <f ca="1">IF(TODAY()-$F$3&lt;=340,$F$4+240,"ERROR, CALIBRE EL PATRÓN")</f>
        <v>46137</v>
      </c>
      <c r="J3" s="39"/>
    </row>
    <row r="4" spans="1:12" ht="28.15" customHeight="1">
      <c r="B4" s="58" t="s">
        <v>165</v>
      </c>
      <c r="C4" s="108" t="s">
        <v>202</v>
      </c>
      <c r="D4" s="108" t="s">
        <v>136</v>
      </c>
      <c r="E4" s="108">
        <v>11121025</v>
      </c>
      <c r="F4" s="50">
        <f>'CONTROL CALIBRACIONES'!G43</f>
        <v>45897</v>
      </c>
      <c r="G4" s="183"/>
      <c r="H4" s="183"/>
      <c r="I4" s="183"/>
      <c r="J4" s="39"/>
    </row>
    <row r="6" spans="1:12" s="51" customFormat="1" ht="25.15" customHeight="1">
      <c r="B6" s="171" t="s">
        <v>148</v>
      </c>
      <c r="C6" s="171"/>
      <c r="D6" s="171"/>
      <c r="E6" s="171"/>
      <c r="F6" s="171"/>
      <c r="G6" s="171"/>
      <c r="H6" s="171"/>
      <c r="I6" s="171"/>
      <c r="J6" s="71"/>
    </row>
    <row r="7" spans="1:12" s="51" customFormat="1" ht="3.6" customHeight="1">
      <c r="B7" s="195"/>
      <c r="C7" s="196"/>
      <c r="D7" s="196"/>
      <c r="E7" s="196"/>
      <c r="F7" s="196"/>
      <c r="G7" s="196"/>
      <c r="H7" s="196"/>
      <c r="I7" s="197"/>
    </row>
    <row r="8" spans="1:12" s="51" customFormat="1" ht="29.45" customHeight="1">
      <c r="B8" s="49" t="s">
        <v>149</v>
      </c>
      <c r="C8" s="49" t="s">
        <v>150</v>
      </c>
      <c r="D8" s="49" t="s">
        <v>188</v>
      </c>
      <c r="E8" s="49" t="s">
        <v>152</v>
      </c>
      <c r="F8" s="49" t="s">
        <v>153</v>
      </c>
      <c r="G8" s="49" t="s">
        <v>154</v>
      </c>
      <c r="H8" s="58" t="s">
        <v>166</v>
      </c>
      <c r="I8" s="42">
        <v>20.9</v>
      </c>
      <c r="K8" s="76" t="s">
        <v>155</v>
      </c>
      <c r="L8" s="42" t="s">
        <v>156</v>
      </c>
    </row>
    <row r="9" spans="1:12" s="51" customFormat="1" ht="29.45" customHeight="1">
      <c r="A9" s="51">
        <v>1</v>
      </c>
      <c r="B9" s="44">
        <v>0</v>
      </c>
      <c r="C9" s="44">
        <v>0</v>
      </c>
      <c r="D9" s="44">
        <f>B9-C9</f>
        <v>0</v>
      </c>
      <c r="E9" s="60">
        <v>8.3000000000000001E-3</v>
      </c>
      <c r="F9" s="44">
        <v>0.1</v>
      </c>
      <c r="G9" s="182" t="str">
        <f>IF(AND(ABS(D9)&lt;F9,ABS(D10)&lt;F10,ABS(D11)&lt;F11,ABS(D12)&lt;F12,ABS(D13)&lt;F13,ABS(D14)&lt;F14,ABS(D15)&lt;F15,ABS(D16)&lt;F16,ABS(D17)&lt;F17,ABS(D18)&lt;F18,ABS(D19)&lt;F19,ABS(D20)&lt;F20),"EQUIPO CUMPLE ESPECIFICACIÓN","EQUIPO NO CUMPLE ESPECIFICACIÓN")</f>
        <v>EQUIPO CUMPLE ESPECIFICACIÓN</v>
      </c>
      <c r="H9" s="58" t="s">
        <v>157</v>
      </c>
      <c r="I9" s="42">
        <v>747.8</v>
      </c>
      <c r="K9" s="42">
        <f>F9</f>
        <v>0.1</v>
      </c>
      <c r="L9" s="42">
        <f>-F9</f>
        <v>-0.1</v>
      </c>
    </row>
    <row r="10" spans="1:12" s="51" customFormat="1" ht="29.45" customHeight="1">
      <c r="A10" s="51">
        <v>2</v>
      </c>
      <c r="B10" s="44">
        <v>200</v>
      </c>
      <c r="C10" s="44">
        <v>199.5</v>
      </c>
      <c r="D10" s="44">
        <f t="shared" ref="D10:D20" si="0">B10-C10</f>
        <v>0.5</v>
      </c>
      <c r="E10" s="60">
        <v>0.5</v>
      </c>
      <c r="F10" s="44">
        <f>IF(AND(B10&gt;=15,B10&lt;=70),2,IF(AND(B10&gt;70,B10&lt;=300),B10*0.03,IF(AND(B10&gt;300,B10&lt;=1000),12,IF(AND(B10&gt;1000),B10*0.01,"Revisar"))))</f>
        <v>6</v>
      </c>
      <c r="G10" s="182"/>
      <c r="H10" s="58" t="s">
        <v>158</v>
      </c>
      <c r="I10" s="102">
        <v>0.68899999999999995</v>
      </c>
      <c r="K10" s="42">
        <f t="shared" ref="K10:K20" si="1">F10</f>
        <v>6</v>
      </c>
      <c r="L10" s="42">
        <f t="shared" ref="L10:L20" si="2">-F10</f>
        <v>-6</v>
      </c>
    </row>
    <row r="11" spans="1:12" s="51" customFormat="1" ht="29.45" customHeight="1">
      <c r="A11" s="51">
        <v>3</v>
      </c>
      <c r="B11" s="44">
        <v>500</v>
      </c>
      <c r="C11" s="44">
        <v>498.2</v>
      </c>
      <c r="D11" s="44">
        <f t="shared" si="0"/>
        <v>1.8000000000000114</v>
      </c>
      <c r="E11" s="60">
        <v>1.4</v>
      </c>
      <c r="F11" s="44">
        <f t="shared" ref="F11:F20" si="3">IF(AND(B11&gt;=15,B11&lt;=70),2,IF(AND(B11&gt;70,B11&lt;=300),B11*0.03,IF(AND(B11&gt;300,B11&lt;=1000),12,IF(AND(B11&gt;1000),B11*0.01,"Revisar"))))</f>
        <v>12</v>
      </c>
      <c r="G11" s="182"/>
      <c r="H11" s="58" t="s">
        <v>159</v>
      </c>
      <c r="I11" s="42" t="s">
        <v>167</v>
      </c>
      <c r="K11" s="42">
        <f t="shared" si="1"/>
        <v>12</v>
      </c>
      <c r="L11" s="42">
        <f t="shared" si="2"/>
        <v>-12</v>
      </c>
    </row>
    <row r="12" spans="1:12" s="51" customFormat="1" ht="29.45" customHeight="1">
      <c r="A12" s="51">
        <v>4</v>
      </c>
      <c r="B12" s="44">
        <v>1000</v>
      </c>
      <c r="C12" s="44">
        <v>997.11</v>
      </c>
      <c r="D12" s="44">
        <f t="shared" si="0"/>
        <v>2.8899999999999864</v>
      </c>
      <c r="E12" s="60">
        <v>0.68</v>
      </c>
      <c r="F12" s="44">
        <f t="shared" si="3"/>
        <v>12</v>
      </c>
      <c r="G12" s="182"/>
      <c r="H12" s="58" t="s">
        <v>146</v>
      </c>
      <c r="I12" s="50">
        <f>F4</f>
        <v>45897</v>
      </c>
      <c r="K12" s="42">
        <f t="shared" si="1"/>
        <v>12</v>
      </c>
      <c r="L12" s="42">
        <f t="shared" si="2"/>
        <v>-12</v>
      </c>
    </row>
    <row r="13" spans="1:12" s="51" customFormat="1" ht="21.6" customHeight="1">
      <c r="A13" s="51">
        <v>5</v>
      </c>
      <c r="B13" s="44">
        <v>1500</v>
      </c>
      <c r="C13" s="44">
        <v>1496.97</v>
      </c>
      <c r="D13" s="44">
        <f t="shared" si="0"/>
        <v>3.0299999999999727</v>
      </c>
      <c r="E13" s="60">
        <v>0.85</v>
      </c>
      <c r="F13" s="44">
        <f t="shared" si="3"/>
        <v>15</v>
      </c>
      <c r="G13" s="182"/>
      <c r="H13" s="175" t="s">
        <v>161</v>
      </c>
      <c r="I13" s="175"/>
      <c r="K13" s="42">
        <f t="shared" si="1"/>
        <v>15</v>
      </c>
      <c r="L13" s="42">
        <f t="shared" si="2"/>
        <v>-15</v>
      </c>
    </row>
    <row r="14" spans="1:12" s="51" customFormat="1" ht="21.6" customHeight="1">
      <c r="A14" s="51">
        <v>6</v>
      </c>
      <c r="B14" s="44">
        <v>2000</v>
      </c>
      <c r="C14" s="44">
        <v>1997.38</v>
      </c>
      <c r="D14" s="44">
        <f t="shared" si="0"/>
        <v>2.6199999999998909</v>
      </c>
      <c r="E14" s="60">
        <v>0.32</v>
      </c>
      <c r="F14" s="44">
        <f t="shared" si="3"/>
        <v>20</v>
      </c>
      <c r="G14" s="182"/>
      <c r="H14" s="175"/>
      <c r="I14" s="175"/>
      <c r="K14" s="42">
        <f t="shared" si="1"/>
        <v>20</v>
      </c>
      <c r="L14" s="42">
        <f t="shared" si="2"/>
        <v>-20</v>
      </c>
    </row>
    <row r="15" spans="1:12" s="51" customFormat="1" ht="21.6" customHeight="1">
      <c r="A15" s="51">
        <v>7</v>
      </c>
      <c r="B15" s="44">
        <v>2500</v>
      </c>
      <c r="C15" s="58">
        <v>2494.23</v>
      </c>
      <c r="D15" s="44">
        <f t="shared" si="0"/>
        <v>5.7699999999999818</v>
      </c>
      <c r="E15" s="60">
        <v>0.7</v>
      </c>
      <c r="F15" s="44">
        <f t="shared" si="3"/>
        <v>25</v>
      </c>
      <c r="G15" s="182"/>
      <c r="H15" s="175"/>
      <c r="I15" s="175"/>
      <c r="K15" s="42">
        <f t="shared" si="1"/>
        <v>25</v>
      </c>
      <c r="L15" s="42">
        <f t="shared" si="2"/>
        <v>-25</v>
      </c>
    </row>
    <row r="16" spans="1:12" s="51" customFormat="1" ht="21.6" customHeight="1">
      <c r="A16" s="51">
        <v>8</v>
      </c>
      <c r="B16" s="44">
        <v>3000</v>
      </c>
      <c r="C16" s="44">
        <v>2995.26</v>
      </c>
      <c r="D16" s="44">
        <f t="shared" si="0"/>
        <v>4.7399999999997817</v>
      </c>
      <c r="E16" s="60">
        <v>0.59</v>
      </c>
      <c r="F16" s="44">
        <f t="shared" si="3"/>
        <v>30</v>
      </c>
      <c r="G16" s="182"/>
      <c r="H16" s="175"/>
      <c r="I16" s="175"/>
      <c r="K16" s="42">
        <f t="shared" si="1"/>
        <v>30</v>
      </c>
      <c r="L16" s="42">
        <f t="shared" si="2"/>
        <v>-30</v>
      </c>
    </row>
    <row r="17" spans="1:12" s="51" customFormat="1" ht="21.6" customHeight="1">
      <c r="A17" s="51">
        <v>9</v>
      </c>
      <c r="B17" s="44">
        <v>3500</v>
      </c>
      <c r="C17" s="44">
        <v>3495.36</v>
      </c>
      <c r="D17" s="44">
        <f t="shared" si="0"/>
        <v>4.6399999999998727</v>
      </c>
      <c r="E17" s="60">
        <v>0.54</v>
      </c>
      <c r="F17" s="44">
        <f t="shared" si="3"/>
        <v>35</v>
      </c>
      <c r="G17" s="182"/>
      <c r="H17" s="175"/>
      <c r="I17" s="175"/>
      <c r="K17" s="42">
        <f t="shared" si="1"/>
        <v>35</v>
      </c>
      <c r="L17" s="42">
        <f t="shared" si="2"/>
        <v>-35</v>
      </c>
    </row>
    <row r="18" spans="1:12" s="51" customFormat="1" ht="21.6" customHeight="1">
      <c r="A18" s="51">
        <v>10</v>
      </c>
      <c r="B18" s="44">
        <v>4000</v>
      </c>
      <c r="C18" s="44">
        <v>3995.65</v>
      </c>
      <c r="D18" s="44">
        <f t="shared" si="0"/>
        <v>4.3499999999999091</v>
      </c>
      <c r="E18" s="60">
        <v>0.34</v>
      </c>
      <c r="F18" s="44">
        <f t="shared" si="3"/>
        <v>40</v>
      </c>
      <c r="G18" s="182"/>
      <c r="H18" s="175"/>
      <c r="I18" s="175"/>
      <c r="K18" s="42">
        <f t="shared" si="1"/>
        <v>40</v>
      </c>
      <c r="L18" s="42">
        <f t="shared" si="2"/>
        <v>-40</v>
      </c>
    </row>
    <row r="19" spans="1:12" s="51" customFormat="1" ht="21.6" customHeight="1">
      <c r="A19" s="51">
        <v>11</v>
      </c>
      <c r="B19" s="44">
        <v>4500</v>
      </c>
      <c r="C19" s="44">
        <v>4492.43</v>
      </c>
      <c r="D19" s="44">
        <f t="shared" si="0"/>
        <v>7.569999999999709</v>
      </c>
      <c r="E19" s="60">
        <v>0.91</v>
      </c>
      <c r="F19" s="44">
        <f t="shared" si="3"/>
        <v>45</v>
      </c>
      <c r="G19" s="182"/>
      <c r="H19" s="175"/>
      <c r="I19" s="175"/>
      <c r="K19" s="42">
        <f t="shared" si="1"/>
        <v>45</v>
      </c>
      <c r="L19" s="42">
        <f t="shared" si="2"/>
        <v>-45</v>
      </c>
    </row>
    <row r="20" spans="1:12" s="51" customFormat="1" ht="21.6" customHeight="1">
      <c r="A20" s="51">
        <v>12</v>
      </c>
      <c r="B20" s="44">
        <v>5000</v>
      </c>
      <c r="C20" s="44">
        <v>4990.3500000000004</v>
      </c>
      <c r="D20" s="44">
        <f t="shared" si="0"/>
        <v>9.6499999999996362</v>
      </c>
      <c r="E20" s="60">
        <v>0.56999999999999995</v>
      </c>
      <c r="F20" s="44">
        <f t="shared" si="3"/>
        <v>50</v>
      </c>
      <c r="G20" s="182"/>
      <c r="H20" s="175"/>
      <c r="I20" s="175"/>
      <c r="K20" s="42">
        <f t="shared" si="1"/>
        <v>50</v>
      </c>
      <c r="L20" s="42">
        <f t="shared" si="2"/>
        <v>-50</v>
      </c>
    </row>
    <row r="22" spans="1:12">
      <c r="B22" s="176" t="s">
        <v>168</v>
      </c>
      <c r="C22" s="177"/>
      <c r="D22" s="177"/>
      <c r="E22" s="177"/>
      <c r="F22" s="177"/>
      <c r="G22" s="177"/>
      <c r="H22" s="178"/>
      <c r="I22" s="71"/>
    </row>
    <row r="23" spans="1:12">
      <c r="B23" s="100" t="s">
        <v>169</v>
      </c>
      <c r="C23" s="79">
        <v>45905</v>
      </c>
      <c r="D23" s="79">
        <v>45924</v>
      </c>
      <c r="E23" s="79"/>
      <c r="F23" s="80"/>
      <c r="G23" s="81"/>
      <c r="H23" s="82"/>
      <c r="I23" s="51"/>
    </row>
    <row r="24" spans="1:12">
      <c r="B24" s="101" t="s">
        <v>170</v>
      </c>
      <c r="C24" s="72" t="s">
        <v>172</v>
      </c>
      <c r="D24" s="72" t="s">
        <v>171</v>
      </c>
      <c r="E24" s="72"/>
      <c r="F24" s="80"/>
      <c r="G24" s="83"/>
      <c r="H24" s="84"/>
      <c r="I24" s="51"/>
    </row>
    <row r="25" spans="1:12" ht="46.15" customHeight="1">
      <c r="B25" s="49" t="s">
        <v>149</v>
      </c>
      <c r="C25" s="49" t="s">
        <v>190</v>
      </c>
      <c r="D25" s="49" t="s">
        <v>173</v>
      </c>
      <c r="E25" s="85" t="s">
        <v>174</v>
      </c>
      <c r="F25" s="179"/>
      <c r="G25" s="86" t="s">
        <v>176</v>
      </c>
      <c r="H25" s="49" t="s">
        <v>177</v>
      </c>
      <c r="J25" s="76" t="s">
        <v>155</v>
      </c>
      <c r="K25" s="42" t="s">
        <v>156</v>
      </c>
    </row>
    <row r="26" spans="1:12" ht="15.6" customHeight="1">
      <c r="B26" s="74">
        <v>0</v>
      </c>
      <c r="C26" s="96">
        <v>0.02</v>
      </c>
      <c r="D26" s="96">
        <v>-0.82</v>
      </c>
      <c r="E26" s="87"/>
      <c r="F26" s="179"/>
      <c r="G26" s="181" t="str">
        <f>IF(AND(ABS(G35)&lt;$B$35,ABS(G36)&lt;$B$36,ABS(G37)&lt;$B$37,ABS(G38)&lt;$B$38,ABS(G39)&lt;$B$39,ABS(G40)&lt;$B$40,ABS(G41)&lt;$B$41,ABS(G42)&lt;$B$42),"EQUIPO SE ENCUENTRA COMPROBADO","EQUIPO TIENE ALGUNA AFECTACIÓN, ENVIAR A REVISIÓN")</f>
        <v>EQUIPO SE ENCUENTRA COMPROBADO</v>
      </c>
      <c r="H26" s="182" t="e">
        <f>IF(AND(ABS(H35)&lt;$B$35,ABS(H36)&lt;$B$36,ABS(H37)&lt;$B$37,ABS(H38)&lt;$B$38,ABS(H39)&lt;$B$39,ABS(H40)&lt;$B$40,ABS(H41)&lt;$B$41,ABS(H42)&lt;$B$42),"EQUIPO SE ENCUENTRA COMPROBADO","EQUIPO TIENE ALGUNA AFECTACIÓN, ENVIAR A REVISIÓN")</f>
        <v>#VALUE!</v>
      </c>
      <c r="J26" s="88">
        <f t="shared" ref="J26:J33" si="4">B35</f>
        <v>1</v>
      </c>
      <c r="K26" s="88">
        <f t="shared" ref="K26:K33" si="5">-B35</f>
        <v>-1</v>
      </c>
    </row>
    <row r="27" spans="1:12" ht="15.6" customHeight="1">
      <c r="B27" s="74">
        <v>428</v>
      </c>
      <c r="C27" s="96">
        <v>427.98</v>
      </c>
      <c r="D27" s="96">
        <v>427.98</v>
      </c>
      <c r="E27" s="87"/>
      <c r="F27" s="179"/>
      <c r="G27" s="181"/>
      <c r="H27" s="182"/>
      <c r="J27" s="88">
        <f t="shared" si="4"/>
        <v>6</v>
      </c>
      <c r="K27" s="88">
        <f t="shared" si="5"/>
        <v>-6</v>
      </c>
    </row>
    <row r="28" spans="1:12" ht="15.6" customHeight="1">
      <c r="B28" s="74">
        <v>856</v>
      </c>
      <c r="C28" s="96">
        <v>854.99</v>
      </c>
      <c r="D28" s="96">
        <v>854.99</v>
      </c>
      <c r="E28" s="87"/>
      <c r="F28" s="179"/>
      <c r="G28" s="181"/>
      <c r="H28" s="182"/>
      <c r="J28" s="88">
        <f t="shared" si="4"/>
        <v>6</v>
      </c>
      <c r="K28" s="88">
        <f t="shared" si="5"/>
        <v>-6</v>
      </c>
    </row>
    <row r="29" spans="1:12" ht="15.6" customHeight="1">
      <c r="B29" s="74">
        <v>1284</v>
      </c>
      <c r="C29" s="96">
        <v>1282.07</v>
      </c>
      <c r="D29" s="96">
        <v>1282.07</v>
      </c>
      <c r="E29" s="87"/>
      <c r="F29" s="179"/>
      <c r="G29" s="181"/>
      <c r="H29" s="182"/>
      <c r="J29" s="88">
        <f t="shared" si="4"/>
        <v>6.42</v>
      </c>
      <c r="K29" s="88">
        <f t="shared" si="5"/>
        <v>-6.42</v>
      </c>
    </row>
    <row r="30" spans="1:12" ht="15.6" customHeight="1">
      <c r="B30" s="74">
        <v>1712</v>
      </c>
      <c r="C30" s="97">
        <v>1714.58</v>
      </c>
      <c r="D30" s="97">
        <v>1713.75</v>
      </c>
      <c r="E30" s="90"/>
      <c r="F30" s="179"/>
      <c r="G30" s="181"/>
      <c r="H30" s="182"/>
      <c r="J30" s="88">
        <f t="shared" si="4"/>
        <v>8.56</v>
      </c>
      <c r="K30" s="88">
        <f t="shared" si="5"/>
        <v>-8.56</v>
      </c>
    </row>
    <row r="31" spans="1:12" ht="15.6" customHeight="1">
      <c r="B31" s="74">
        <v>2140</v>
      </c>
      <c r="C31" s="96">
        <v>2141.3000000000002</v>
      </c>
      <c r="D31" s="96">
        <v>2142.13</v>
      </c>
      <c r="E31" s="87"/>
      <c r="F31" s="179"/>
      <c r="G31" s="181"/>
      <c r="H31" s="182"/>
      <c r="J31" s="88">
        <f t="shared" si="4"/>
        <v>10.700000000000001</v>
      </c>
      <c r="K31" s="88">
        <f t="shared" si="5"/>
        <v>-10.700000000000001</v>
      </c>
    </row>
    <row r="32" spans="1:12" ht="15.6" customHeight="1">
      <c r="B32" s="74">
        <v>2568</v>
      </c>
      <c r="C32" s="96">
        <v>2568.46</v>
      </c>
      <c r="D32" s="96">
        <v>2568.46</v>
      </c>
      <c r="E32" s="87"/>
      <c r="F32" s="179"/>
      <c r="G32" s="181"/>
      <c r="H32" s="182"/>
      <c r="J32" s="88">
        <f t="shared" si="4"/>
        <v>12.84</v>
      </c>
      <c r="K32" s="88">
        <f t="shared" si="5"/>
        <v>-12.84</v>
      </c>
    </row>
    <row r="33" spans="2:11" ht="15.6" customHeight="1">
      <c r="B33" s="74">
        <v>3000</v>
      </c>
      <c r="C33" s="96">
        <v>3000.11</v>
      </c>
      <c r="D33" s="96">
        <v>3000.11</v>
      </c>
      <c r="E33" s="87"/>
      <c r="F33" s="179"/>
      <c r="G33" s="181"/>
      <c r="H33" s="182"/>
      <c r="J33" s="88">
        <f t="shared" si="4"/>
        <v>15</v>
      </c>
      <c r="K33" s="88">
        <f t="shared" si="5"/>
        <v>-15</v>
      </c>
    </row>
    <row r="34" spans="2:11" ht="45.75">
      <c r="B34" s="98" t="s">
        <v>178</v>
      </c>
      <c r="C34" s="49" t="s">
        <v>200</v>
      </c>
      <c r="D34" s="49" t="s">
        <v>180</v>
      </c>
      <c r="E34" s="85" t="s">
        <v>181</v>
      </c>
      <c r="F34" s="179"/>
      <c r="G34" s="86" t="s">
        <v>182</v>
      </c>
      <c r="H34" s="49" t="s">
        <v>183</v>
      </c>
    </row>
    <row r="35" spans="2:11" ht="15.6" customHeight="1">
      <c r="B35" s="74">
        <f>IF(AND(B26&gt;=15,B26&lt;=70),1,IF(AND(B26&gt;70,B26&lt;=300),B26*0.015,IF(AND(B26&gt;300,B26&lt;=1000),6,IF(AND(B26&gt;1000),B26*0.005,1))))</f>
        <v>1</v>
      </c>
      <c r="C35" s="74">
        <f>C26-$B$26</f>
        <v>0.02</v>
      </c>
      <c r="D35" s="74">
        <f>D26-B26</f>
        <v>-0.82</v>
      </c>
      <c r="E35" s="87" t="str">
        <f>IF(E26="","",E26-B26)</f>
        <v/>
      </c>
      <c r="F35" s="179"/>
      <c r="G35" s="92">
        <f>C35-D35</f>
        <v>0.84</v>
      </c>
      <c r="H35" s="88" t="str">
        <f>IF(E26="","",C35-E35)</f>
        <v/>
      </c>
    </row>
    <row r="36" spans="2:11" ht="15.6" customHeight="1">
      <c r="B36" s="74">
        <f t="shared" ref="B36:B42" si="6">IF(AND(B27&gt;=15,B27&lt;=70),1,IF(AND(B27&gt;70,B27&lt;=300),B27*0.015,IF(AND(B27&gt;300,B27&lt;=1000),6,IF(AND(B27&gt;1000),B27*0.005,1))))</f>
        <v>6</v>
      </c>
      <c r="C36" s="74">
        <f>C27-$B$27</f>
        <v>-1.999999999998181E-2</v>
      </c>
      <c r="D36" s="74">
        <f t="shared" ref="D36:D42" si="7">D27-B27</f>
        <v>-1.999999999998181E-2</v>
      </c>
      <c r="E36" s="87" t="str">
        <f t="shared" ref="E36:E42" si="8">IF(E27="","",E27-B27)</f>
        <v/>
      </c>
      <c r="F36" s="179"/>
      <c r="G36" s="92">
        <f>C36-D36</f>
        <v>0</v>
      </c>
      <c r="H36" s="88" t="str">
        <f t="shared" ref="H36:H42" si="9">IF(E27="","",C36-E36)</f>
        <v/>
      </c>
    </row>
    <row r="37" spans="2:11" ht="15.6" customHeight="1">
      <c r="B37" s="74">
        <f t="shared" si="6"/>
        <v>6</v>
      </c>
      <c r="C37" s="74">
        <f>C28-$B$28</f>
        <v>-1.0099999999999909</v>
      </c>
      <c r="D37" s="74">
        <f t="shared" si="7"/>
        <v>-1.0099999999999909</v>
      </c>
      <c r="E37" s="87" t="str">
        <f t="shared" si="8"/>
        <v/>
      </c>
      <c r="F37" s="179"/>
      <c r="G37" s="92">
        <f t="shared" ref="G37:G42" si="10">C37-D37</f>
        <v>0</v>
      </c>
      <c r="H37" s="88" t="str">
        <f t="shared" si="9"/>
        <v/>
      </c>
    </row>
    <row r="38" spans="2:11" ht="15.6" customHeight="1">
      <c r="B38" s="74">
        <f t="shared" si="6"/>
        <v>6.42</v>
      </c>
      <c r="C38" s="74">
        <f>C29-$B$29</f>
        <v>-1.9300000000000637</v>
      </c>
      <c r="D38" s="74">
        <f t="shared" si="7"/>
        <v>-1.9300000000000637</v>
      </c>
      <c r="E38" s="87" t="str">
        <f t="shared" si="8"/>
        <v/>
      </c>
      <c r="F38" s="179"/>
      <c r="G38" s="92">
        <f t="shared" si="10"/>
        <v>0</v>
      </c>
      <c r="H38" s="88" t="str">
        <f t="shared" si="9"/>
        <v/>
      </c>
    </row>
    <row r="39" spans="2:11" ht="15.6" customHeight="1">
      <c r="B39" s="74">
        <f t="shared" si="6"/>
        <v>8.56</v>
      </c>
      <c r="C39" s="74">
        <f>C30-$B$30</f>
        <v>2.5799999999999272</v>
      </c>
      <c r="D39" s="74">
        <f t="shared" si="7"/>
        <v>1.75</v>
      </c>
      <c r="E39" s="87" t="str">
        <f t="shared" si="8"/>
        <v/>
      </c>
      <c r="F39" s="179"/>
      <c r="G39" s="92">
        <f t="shared" si="10"/>
        <v>0.82999999999992724</v>
      </c>
      <c r="H39" s="88" t="str">
        <f t="shared" si="9"/>
        <v/>
      </c>
    </row>
    <row r="40" spans="2:11" ht="15.6" customHeight="1">
      <c r="B40" s="74">
        <f t="shared" si="6"/>
        <v>10.700000000000001</v>
      </c>
      <c r="C40" s="74">
        <f>C31-$B$31</f>
        <v>1.3000000000001819</v>
      </c>
      <c r="D40" s="74">
        <f t="shared" si="7"/>
        <v>2.1300000000001091</v>
      </c>
      <c r="E40" s="87" t="str">
        <f t="shared" si="8"/>
        <v/>
      </c>
      <c r="F40" s="179"/>
      <c r="G40" s="92">
        <f t="shared" si="10"/>
        <v>-0.82999999999992724</v>
      </c>
      <c r="H40" s="88" t="str">
        <f t="shared" si="9"/>
        <v/>
      </c>
    </row>
    <row r="41" spans="2:11" ht="15.6" customHeight="1">
      <c r="B41" s="74">
        <f t="shared" si="6"/>
        <v>12.84</v>
      </c>
      <c r="C41" s="74">
        <f>C32-$B$32</f>
        <v>0.46000000000003638</v>
      </c>
      <c r="D41" s="74">
        <f t="shared" si="7"/>
        <v>0.46000000000003638</v>
      </c>
      <c r="E41" s="87" t="str">
        <f t="shared" si="8"/>
        <v/>
      </c>
      <c r="F41" s="179"/>
      <c r="G41" s="92">
        <f t="shared" si="10"/>
        <v>0</v>
      </c>
      <c r="H41" s="88" t="str">
        <f t="shared" si="9"/>
        <v/>
      </c>
    </row>
    <row r="42" spans="2:11" ht="15.6" customHeight="1">
      <c r="B42" s="74">
        <f t="shared" si="6"/>
        <v>15</v>
      </c>
      <c r="C42" s="74">
        <f>C33-$B$33</f>
        <v>0.11000000000012733</v>
      </c>
      <c r="D42" s="74">
        <f t="shared" si="7"/>
        <v>0.11000000000012733</v>
      </c>
      <c r="E42" s="87" t="str">
        <f t="shared" si="8"/>
        <v/>
      </c>
      <c r="F42" s="180"/>
      <c r="G42" s="92">
        <f t="shared" si="10"/>
        <v>0</v>
      </c>
      <c r="H42" s="88" t="str">
        <f t="shared" si="9"/>
        <v/>
      </c>
    </row>
    <row r="44" spans="2:11">
      <c r="B44" s="186" t="s">
        <v>191</v>
      </c>
      <c r="C44" s="186"/>
      <c r="D44" s="186"/>
      <c r="E44" s="186"/>
      <c r="F44" s="186"/>
    </row>
    <row r="45" spans="2:11">
      <c r="B45" s="185" t="s">
        <v>192</v>
      </c>
      <c r="C45" s="185"/>
      <c r="D45" s="185"/>
      <c r="E45" s="185"/>
      <c r="F45" s="185"/>
    </row>
    <row r="46" spans="2:11">
      <c r="B46" s="99" t="s">
        <v>193</v>
      </c>
      <c r="C46" s="99" t="s">
        <v>201</v>
      </c>
      <c r="D46" s="99" t="s">
        <v>195</v>
      </c>
      <c r="E46" s="99" t="s">
        <v>196</v>
      </c>
      <c r="F46" s="99" t="s">
        <v>197</v>
      </c>
    </row>
    <row r="47" spans="2:11">
      <c r="B47" s="42">
        <v>0.37</v>
      </c>
      <c r="C47" s="42">
        <v>-0.35</v>
      </c>
      <c r="D47" s="42">
        <v>-0.35</v>
      </c>
      <c r="E47" s="42">
        <v>0.02</v>
      </c>
      <c r="F47" s="42">
        <v>0.02</v>
      </c>
    </row>
    <row r="48" spans="2:11">
      <c r="B48" s="42">
        <v>426.21</v>
      </c>
      <c r="C48" s="42">
        <v>1.78</v>
      </c>
      <c r="D48" s="42">
        <v>1.78</v>
      </c>
      <c r="E48" s="42">
        <v>427.98</v>
      </c>
      <c r="F48" s="42">
        <v>427.98</v>
      </c>
    </row>
    <row r="49" spans="2:6">
      <c r="B49" s="42">
        <v>852.87</v>
      </c>
      <c r="C49" s="42">
        <v>2.12</v>
      </c>
      <c r="D49" s="42">
        <v>2.12</v>
      </c>
      <c r="E49" s="42">
        <v>854.99</v>
      </c>
      <c r="F49" s="42">
        <v>854.99</v>
      </c>
    </row>
    <row r="50" spans="2:6">
      <c r="B50" s="42">
        <v>1279.54</v>
      </c>
      <c r="C50" s="42">
        <v>2.5299999999999998</v>
      </c>
      <c r="D50" s="42">
        <v>2.5299999999999998</v>
      </c>
      <c r="E50" s="42">
        <v>1282.07</v>
      </c>
      <c r="F50" s="42">
        <v>1282.07</v>
      </c>
    </row>
    <row r="51" spans="2:6">
      <c r="B51" s="42">
        <v>1711.2</v>
      </c>
      <c r="C51" s="42">
        <v>3.38</v>
      </c>
      <c r="D51" s="42">
        <v>3.38</v>
      </c>
      <c r="E51" s="42">
        <v>1714.58</v>
      </c>
      <c r="F51" s="42">
        <v>1714.58</v>
      </c>
    </row>
    <row r="52" spans="2:6">
      <c r="B52" s="42">
        <v>2137.04</v>
      </c>
      <c r="C52" s="42">
        <v>4.26</v>
      </c>
      <c r="D52" s="42">
        <v>4.26</v>
      </c>
      <c r="E52" s="42">
        <v>2141.3000000000002</v>
      </c>
      <c r="F52" s="42">
        <v>2141.3000000000002</v>
      </c>
    </row>
    <row r="53" spans="2:6">
      <c r="B53" s="42">
        <v>2563.6999999999998</v>
      </c>
      <c r="C53" s="42">
        <v>4.76</v>
      </c>
      <c r="D53" s="42">
        <v>4.76</v>
      </c>
      <c r="E53" s="42">
        <v>2568.46</v>
      </c>
      <c r="F53" s="42">
        <v>2568.46</v>
      </c>
    </row>
    <row r="54" spans="2:6">
      <c r="B54" s="42">
        <v>2995.37</v>
      </c>
      <c r="C54" s="42">
        <v>4.74</v>
      </c>
      <c r="D54" s="42">
        <v>4.74</v>
      </c>
      <c r="E54" s="42">
        <v>3000.11</v>
      </c>
      <c r="F54" s="42">
        <v>3000.11</v>
      </c>
    </row>
    <row r="55" spans="2:6">
      <c r="B55" s="185" t="s">
        <v>198</v>
      </c>
      <c r="C55" s="185"/>
      <c r="D55" s="185"/>
      <c r="E55" s="185"/>
      <c r="F55" s="185"/>
    </row>
    <row r="56" spans="2:6">
      <c r="B56" s="99" t="s">
        <v>193</v>
      </c>
      <c r="C56" s="99" t="s">
        <v>201</v>
      </c>
      <c r="D56" s="99" t="s">
        <v>195</v>
      </c>
      <c r="E56" s="99" t="s">
        <v>196</v>
      </c>
      <c r="F56" s="99" t="s">
        <v>197</v>
      </c>
    </row>
    <row r="57" spans="2:6">
      <c r="B57" s="103">
        <v>-0.46</v>
      </c>
      <c r="C57" s="103">
        <v>-0.36</v>
      </c>
      <c r="D57" s="103">
        <v>-0.36</v>
      </c>
      <c r="E57" s="103">
        <v>-0.82</v>
      </c>
      <c r="F57" s="103">
        <v>-0.82</v>
      </c>
    </row>
    <row r="58" spans="2:6">
      <c r="B58" s="103">
        <v>426.2</v>
      </c>
      <c r="C58" s="103">
        <v>1.78</v>
      </c>
      <c r="D58" s="103">
        <v>1.78</v>
      </c>
      <c r="E58" s="103">
        <v>427.98</v>
      </c>
      <c r="F58" s="103">
        <v>427.98</v>
      </c>
    </row>
    <row r="59" spans="2:6">
      <c r="B59" s="103">
        <v>852.87</v>
      </c>
      <c r="C59" s="103">
        <v>2.12</v>
      </c>
      <c r="D59" s="103">
        <v>2.12</v>
      </c>
      <c r="E59" s="103">
        <v>854.99</v>
      </c>
      <c r="F59" s="103">
        <v>854.99</v>
      </c>
    </row>
    <row r="60" spans="2:6">
      <c r="B60" s="103">
        <v>1279.54</v>
      </c>
      <c r="C60" s="103">
        <v>2.5299999999999998</v>
      </c>
      <c r="D60" s="103">
        <v>2.5299999999999998</v>
      </c>
      <c r="E60" s="103">
        <v>1282.07</v>
      </c>
      <c r="F60" s="103">
        <v>1282.07</v>
      </c>
    </row>
    <row r="61" spans="2:6">
      <c r="B61" s="103">
        <v>1710.37</v>
      </c>
      <c r="C61" s="103">
        <v>3.38</v>
      </c>
      <c r="D61" s="103">
        <v>3.38</v>
      </c>
      <c r="E61" s="103">
        <v>1713.75</v>
      </c>
      <c r="F61" s="103">
        <v>1713.75</v>
      </c>
    </row>
    <row r="62" spans="2:6">
      <c r="B62" s="103">
        <v>2137.87</v>
      </c>
      <c r="C62" s="103">
        <v>4.26</v>
      </c>
      <c r="D62" s="103">
        <v>4.26</v>
      </c>
      <c r="E62" s="103">
        <v>2142.13</v>
      </c>
      <c r="F62" s="103">
        <v>2142.13</v>
      </c>
    </row>
    <row r="63" spans="2:6">
      <c r="B63" s="103">
        <v>2563.6999999999998</v>
      </c>
      <c r="C63" s="103">
        <v>4.76</v>
      </c>
      <c r="D63" s="103">
        <v>4.76</v>
      </c>
      <c r="E63" s="103">
        <v>2568.46</v>
      </c>
      <c r="F63" s="103">
        <v>2568.46</v>
      </c>
    </row>
    <row r="64" spans="2:6">
      <c r="B64" s="103">
        <v>2995.37</v>
      </c>
      <c r="C64" s="103">
        <v>4.74</v>
      </c>
      <c r="D64" s="103">
        <v>4.74</v>
      </c>
      <c r="E64" s="103">
        <v>3000.11</v>
      </c>
      <c r="F64" s="103">
        <v>3000.11</v>
      </c>
    </row>
    <row r="65" spans="2:6">
      <c r="B65" s="185" t="s">
        <v>199</v>
      </c>
      <c r="C65" s="185"/>
      <c r="D65" s="185"/>
      <c r="E65" s="185"/>
      <c r="F65" s="185"/>
    </row>
    <row r="66" spans="2:6">
      <c r="B66" s="99" t="s">
        <v>193</v>
      </c>
      <c r="C66" s="99" t="s">
        <v>194</v>
      </c>
      <c r="D66" s="99" t="s">
        <v>195</v>
      </c>
      <c r="E66" s="99" t="s">
        <v>196</v>
      </c>
      <c r="F66" s="99" t="s">
        <v>197</v>
      </c>
    </row>
    <row r="67" spans="2:6">
      <c r="B67" s="42">
        <v>0</v>
      </c>
      <c r="C67" s="42">
        <v>0</v>
      </c>
      <c r="D67" s="42">
        <v>0</v>
      </c>
      <c r="E67" s="42">
        <v>0</v>
      </c>
      <c r="F67" s="42">
        <v>0</v>
      </c>
    </row>
    <row r="68" spans="2:6">
      <c r="B68" s="42">
        <v>0</v>
      </c>
      <c r="C68" s="42">
        <v>0</v>
      </c>
      <c r="D68" s="42">
        <v>0</v>
      </c>
      <c r="E68" s="42">
        <v>0</v>
      </c>
      <c r="F68" s="42">
        <v>0</v>
      </c>
    </row>
    <row r="69" spans="2:6">
      <c r="B69" s="42">
        <v>0</v>
      </c>
      <c r="C69" s="42">
        <v>0</v>
      </c>
      <c r="D69" s="42">
        <v>0</v>
      </c>
      <c r="E69" s="42">
        <v>0</v>
      </c>
      <c r="F69" s="42">
        <v>0</v>
      </c>
    </row>
    <row r="70" spans="2:6">
      <c r="B70" s="42">
        <v>0</v>
      </c>
      <c r="C70" s="42">
        <v>0</v>
      </c>
      <c r="D70" s="42">
        <v>0</v>
      </c>
      <c r="E70" s="42">
        <v>0</v>
      </c>
      <c r="F70" s="42">
        <v>0</v>
      </c>
    </row>
    <row r="71" spans="2:6">
      <c r="B71" s="42">
        <v>0</v>
      </c>
      <c r="C71" s="42">
        <v>0</v>
      </c>
      <c r="D71" s="42">
        <v>0</v>
      </c>
      <c r="E71" s="42">
        <v>0</v>
      </c>
      <c r="F71" s="42">
        <v>0</v>
      </c>
    </row>
    <row r="72" spans="2:6">
      <c r="B72" s="42">
        <v>0</v>
      </c>
      <c r="C72" s="42">
        <v>0</v>
      </c>
      <c r="D72" s="42">
        <v>0</v>
      </c>
      <c r="E72" s="42">
        <v>0</v>
      </c>
      <c r="F72" s="42">
        <v>0</v>
      </c>
    </row>
    <row r="73" spans="2:6">
      <c r="B73" s="42">
        <v>0</v>
      </c>
      <c r="C73" s="42">
        <v>0</v>
      </c>
      <c r="D73" s="42">
        <v>0</v>
      </c>
      <c r="E73" s="42">
        <v>0</v>
      </c>
      <c r="F73" s="42">
        <v>0</v>
      </c>
    </row>
    <row r="74" spans="2:6">
      <c r="B74" s="42">
        <v>0</v>
      </c>
      <c r="C74" s="42">
        <v>0</v>
      </c>
      <c r="D74" s="42">
        <v>0</v>
      </c>
      <c r="E74" s="42">
        <v>0</v>
      </c>
      <c r="F74" s="42">
        <v>0</v>
      </c>
    </row>
  </sheetData>
  <mergeCells count="15">
    <mergeCell ref="G9:G20"/>
    <mergeCell ref="H13:I20"/>
    <mergeCell ref="G3:G4"/>
    <mergeCell ref="H3:H4"/>
    <mergeCell ref="I3:I4"/>
    <mergeCell ref="B6:I6"/>
    <mergeCell ref="B7:I7"/>
    <mergeCell ref="B55:F55"/>
    <mergeCell ref="B65:F65"/>
    <mergeCell ref="B22:H22"/>
    <mergeCell ref="F25:F42"/>
    <mergeCell ref="G26:G33"/>
    <mergeCell ref="H26:H33"/>
    <mergeCell ref="B44:F44"/>
    <mergeCell ref="B45:F45"/>
  </mergeCells>
  <conditionalFormatting sqref="O8">
    <cfRule type="expression" dxfId="21" priority="1">
      <formula>" "</formula>
    </cfRule>
    <cfRule type="containsText" dxfId="20" priority="2" operator="containsText" text="&quot;&quot;">
      <formula>NOT(ISERROR(SEARCH("""""",O8)))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0C83-87EF-482B-B97C-F47FE76E6D75}">
  <dimension ref="A2:V125"/>
  <sheetViews>
    <sheetView topLeftCell="A85" zoomScale="65" workbookViewId="0">
      <selection activeCell="G82" sqref="G82:G83"/>
    </sheetView>
  </sheetViews>
  <sheetFormatPr defaultColWidth="11.42578125" defaultRowHeight="15"/>
  <cols>
    <col min="1" max="1" width="3.28515625" customWidth="1"/>
    <col min="2" max="3" width="18.28515625" customWidth="1"/>
    <col min="4" max="4" width="20.7109375" bestFit="1" customWidth="1"/>
    <col min="5" max="5" width="19.5703125" customWidth="1"/>
    <col min="6" max="6" width="21" customWidth="1"/>
    <col min="7" max="7" width="24.42578125" customWidth="1"/>
    <col min="8" max="8" width="27" bestFit="1" customWidth="1"/>
    <col min="9" max="9" width="30.7109375" bestFit="1" customWidth="1"/>
    <col min="10" max="10" width="15.5703125" customWidth="1"/>
    <col min="11" max="11" width="10.5703125" bestFit="1" customWidth="1"/>
  </cols>
  <sheetData>
    <row r="2" spans="1:13" ht="30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162</v>
      </c>
      <c r="I2" s="56"/>
    </row>
    <row r="3" spans="1:13" ht="16.899999999999999" customHeight="1">
      <c r="B3" s="44" t="s">
        <v>147</v>
      </c>
      <c r="C3" s="42" t="s">
        <v>203</v>
      </c>
      <c r="D3" s="42" t="s">
        <v>204</v>
      </c>
      <c r="E3" s="42" t="s">
        <v>205</v>
      </c>
      <c r="F3" s="50" t="s">
        <v>49</v>
      </c>
      <c r="G3" s="183">
        <f>F4</f>
        <v>45786</v>
      </c>
      <c r="H3" s="183">
        <f>G3+180</f>
        <v>45966</v>
      </c>
      <c r="I3" s="39"/>
    </row>
    <row r="4" spans="1:13" ht="28.15" customHeight="1">
      <c r="B4" s="58" t="s">
        <v>165</v>
      </c>
      <c r="C4" s="42" t="s">
        <v>206</v>
      </c>
      <c r="D4" s="42" t="s">
        <v>92</v>
      </c>
      <c r="E4" s="93" t="s">
        <v>99</v>
      </c>
      <c r="F4" s="50">
        <v>45786</v>
      </c>
      <c r="G4" s="183"/>
      <c r="H4" s="183"/>
      <c r="I4" s="39"/>
    </row>
    <row r="6" spans="1:13" s="51" customFormat="1" ht="24.6" customHeight="1">
      <c r="B6" s="227" t="s">
        <v>207</v>
      </c>
      <c r="C6" s="228"/>
      <c r="D6" s="228"/>
      <c r="E6" s="228"/>
      <c r="F6" s="228"/>
      <c r="G6" s="228"/>
      <c r="H6" s="228"/>
      <c r="I6" s="228"/>
      <c r="J6" s="229"/>
    </row>
    <row r="7" spans="1:13" s="51" customFormat="1" ht="14.45" customHeight="1">
      <c r="B7" s="195" t="s">
        <v>169</v>
      </c>
      <c r="C7" s="196"/>
      <c r="D7" s="109">
        <v>45911</v>
      </c>
      <c r="E7" s="110"/>
      <c r="F7" s="215"/>
      <c r="G7" s="216"/>
      <c r="H7" s="216"/>
      <c r="I7" s="216"/>
      <c r="J7" s="217"/>
    </row>
    <row r="8" spans="1:13" s="51" customFormat="1" ht="14.45" customHeight="1">
      <c r="B8" s="195" t="s">
        <v>170</v>
      </c>
      <c r="C8" s="196"/>
      <c r="D8" s="72" t="s">
        <v>171</v>
      </c>
      <c r="E8" s="72"/>
      <c r="F8" s="218"/>
      <c r="G8" s="219"/>
      <c r="H8" s="219"/>
      <c r="I8" s="219"/>
      <c r="J8" s="220"/>
    </row>
    <row r="9" spans="1:13" s="51" customFormat="1" ht="47.45" customHeight="1">
      <c r="B9" s="85" t="s">
        <v>208</v>
      </c>
      <c r="C9" s="49" t="s">
        <v>209</v>
      </c>
      <c r="D9" s="49" t="s">
        <v>210</v>
      </c>
      <c r="E9" s="49" t="s">
        <v>211</v>
      </c>
      <c r="F9" s="43" t="s">
        <v>212</v>
      </c>
      <c r="G9" s="43" t="s">
        <v>213</v>
      </c>
      <c r="H9" s="43" t="s">
        <v>154</v>
      </c>
      <c r="I9" s="58" t="s">
        <v>166</v>
      </c>
      <c r="J9" s="42">
        <v>0</v>
      </c>
      <c r="L9" s="76" t="s">
        <v>155</v>
      </c>
      <c r="M9" s="42" t="s">
        <v>156</v>
      </c>
    </row>
    <row r="10" spans="1:13" s="51" customFormat="1" ht="21.6" customHeight="1">
      <c r="A10" s="51">
        <v>1</v>
      </c>
      <c r="B10" s="44">
        <v>0</v>
      </c>
      <c r="C10" s="44">
        <f>B10*2.205</f>
        <v>0</v>
      </c>
      <c r="D10" s="44">
        <v>-5.62</v>
      </c>
      <c r="E10" s="44"/>
      <c r="F10" s="44" t="str">
        <f>IF(E10="","",D10-E10)</f>
        <v/>
      </c>
      <c r="G10" s="44">
        <v>20</v>
      </c>
      <c r="H10" s="173" t="str">
        <f>IF(AND(,F10&gt;G10,F11&gt;G11,F12&gt;G12,F13&gt;G13,F14&gt;G14,F15&gt;G15,F16&gt;G16,F17&gt;G17),"EQUIPO NO CUMPLE ESPECIFICACIÓN","EQUIPO CUMPLE ESPECIFICACIÓN")</f>
        <v>EQUIPO CUMPLE ESPECIFICACIÓN</v>
      </c>
      <c r="I10" s="44" t="s">
        <v>157</v>
      </c>
      <c r="J10" s="42">
        <v>0</v>
      </c>
      <c r="L10" s="42">
        <f>G10</f>
        <v>20</v>
      </c>
      <c r="M10" s="42">
        <f>-G10</f>
        <v>-20</v>
      </c>
    </row>
    <row r="11" spans="1:13" s="51" customFormat="1" ht="21.6" customHeight="1">
      <c r="A11" s="51">
        <v>2</v>
      </c>
      <c r="B11" s="44">
        <v>162</v>
      </c>
      <c r="C11" s="44">
        <f t="shared" ref="C11:C17" si="0">B11*2.205</f>
        <v>357.21000000000004</v>
      </c>
      <c r="D11" s="44">
        <v>356.09</v>
      </c>
      <c r="E11" s="44"/>
      <c r="F11" s="44" t="str">
        <f t="shared" ref="F11:F17" si="1">IF(E11="","",D11-E11)</f>
        <v/>
      </c>
      <c r="G11" s="44">
        <v>20</v>
      </c>
      <c r="H11" s="173"/>
      <c r="I11" s="44" t="s">
        <v>158</v>
      </c>
      <c r="J11" s="42">
        <v>0</v>
      </c>
      <c r="L11" s="42">
        <f t="shared" ref="L11:L17" si="2">G11</f>
        <v>20</v>
      </c>
      <c r="M11" s="42">
        <f t="shared" ref="M11:M17" si="3">-G11</f>
        <v>-20</v>
      </c>
    </row>
    <row r="12" spans="1:13" s="51" customFormat="1" ht="21.6" customHeight="1">
      <c r="A12" s="51">
        <v>3</v>
      </c>
      <c r="B12" s="44">
        <v>324</v>
      </c>
      <c r="C12" s="44">
        <f t="shared" si="0"/>
        <v>714.42000000000007</v>
      </c>
      <c r="D12" s="44">
        <v>711.91</v>
      </c>
      <c r="E12" s="44"/>
      <c r="F12" s="44" t="str">
        <f t="shared" si="1"/>
        <v/>
      </c>
      <c r="G12" s="44">
        <v>20</v>
      </c>
      <c r="H12" s="173"/>
      <c r="I12" s="44" t="s">
        <v>159</v>
      </c>
      <c r="J12" s="42" t="s">
        <v>214</v>
      </c>
      <c r="L12" s="42">
        <f t="shared" si="2"/>
        <v>20</v>
      </c>
      <c r="M12" s="42">
        <f t="shared" si="3"/>
        <v>-20</v>
      </c>
    </row>
    <row r="13" spans="1:13" s="51" customFormat="1" ht="21.6" customHeight="1">
      <c r="A13" s="51">
        <v>4</v>
      </c>
      <c r="B13" s="44">
        <v>486</v>
      </c>
      <c r="C13" s="44">
        <f t="shared" si="0"/>
        <v>1071.6300000000001</v>
      </c>
      <c r="D13" s="44">
        <v>1066.98</v>
      </c>
      <c r="E13" s="44"/>
      <c r="F13" s="44" t="str">
        <f t="shared" si="1"/>
        <v/>
      </c>
      <c r="G13" s="44">
        <v>20</v>
      </c>
      <c r="H13" s="173"/>
      <c r="I13" s="44" t="s">
        <v>146</v>
      </c>
      <c r="J13" s="50">
        <v>45839</v>
      </c>
      <c r="L13" s="42">
        <f t="shared" si="2"/>
        <v>20</v>
      </c>
      <c r="M13" s="42">
        <f t="shared" si="3"/>
        <v>-20</v>
      </c>
    </row>
    <row r="14" spans="1:13" s="51" customFormat="1" ht="21.6" customHeight="1">
      <c r="A14" s="51">
        <v>5</v>
      </c>
      <c r="B14" s="44">
        <v>648</v>
      </c>
      <c r="C14" s="44">
        <f t="shared" si="0"/>
        <v>1428.8400000000001</v>
      </c>
      <c r="D14" s="44">
        <v>1424.39</v>
      </c>
      <c r="E14" s="44"/>
      <c r="F14" s="44" t="str">
        <f t="shared" si="1"/>
        <v/>
      </c>
      <c r="G14" s="44">
        <v>20</v>
      </c>
      <c r="H14" s="173"/>
      <c r="I14" s="221" t="s">
        <v>161</v>
      </c>
      <c r="J14" s="222"/>
      <c r="L14" s="42">
        <f t="shared" si="2"/>
        <v>20</v>
      </c>
      <c r="M14" s="42">
        <f t="shared" si="3"/>
        <v>-20</v>
      </c>
    </row>
    <row r="15" spans="1:13" s="51" customFormat="1" ht="21.6" customHeight="1">
      <c r="A15" s="51">
        <v>6</v>
      </c>
      <c r="B15" s="44">
        <v>810</v>
      </c>
      <c r="C15" s="44">
        <f t="shared" si="0"/>
        <v>1786.05</v>
      </c>
      <c r="D15" s="44">
        <v>1781.02</v>
      </c>
      <c r="E15" s="44"/>
      <c r="F15" s="44" t="str">
        <f t="shared" si="1"/>
        <v/>
      </c>
      <c r="G15" s="44">
        <v>20</v>
      </c>
      <c r="H15" s="173"/>
      <c r="I15" s="223"/>
      <c r="J15" s="224"/>
      <c r="L15" s="42">
        <f t="shared" si="2"/>
        <v>20</v>
      </c>
      <c r="M15" s="42">
        <f t="shared" si="3"/>
        <v>-20</v>
      </c>
    </row>
    <row r="16" spans="1:13" s="51" customFormat="1" ht="21.6" customHeight="1">
      <c r="A16" s="51">
        <v>7</v>
      </c>
      <c r="B16" s="44">
        <v>972</v>
      </c>
      <c r="C16" s="44">
        <f t="shared" si="0"/>
        <v>2143.2600000000002</v>
      </c>
      <c r="D16" s="44">
        <v>2133.66</v>
      </c>
      <c r="E16" s="44"/>
      <c r="F16" s="44" t="str">
        <f t="shared" si="1"/>
        <v/>
      </c>
      <c r="G16" s="44">
        <v>20</v>
      </c>
      <c r="H16" s="173"/>
      <c r="I16" s="223"/>
      <c r="J16" s="224"/>
      <c r="L16" s="42">
        <f t="shared" si="2"/>
        <v>20</v>
      </c>
      <c r="M16" s="42">
        <f t="shared" si="3"/>
        <v>-20</v>
      </c>
    </row>
    <row r="17" spans="1:13" s="51" customFormat="1" ht="21.6" customHeight="1">
      <c r="A17" s="51">
        <v>8</v>
      </c>
      <c r="B17" s="44">
        <v>1134</v>
      </c>
      <c r="C17" s="44">
        <f t="shared" si="0"/>
        <v>2500.4700000000003</v>
      </c>
      <c r="D17" s="44">
        <v>2503.46</v>
      </c>
      <c r="E17" s="44"/>
      <c r="F17" s="44" t="str">
        <f t="shared" si="1"/>
        <v/>
      </c>
      <c r="G17" s="44">
        <v>20</v>
      </c>
      <c r="H17" s="174"/>
      <c r="I17" s="225"/>
      <c r="J17" s="226"/>
      <c r="L17" s="42">
        <f t="shared" si="2"/>
        <v>20</v>
      </c>
      <c r="M17" s="42">
        <f t="shared" si="3"/>
        <v>-20</v>
      </c>
    </row>
    <row r="18" spans="1:13" s="51" customFormat="1" ht="14.45" customHeight="1">
      <c r="H18" s="38"/>
      <c r="I18" s="38"/>
      <c r="J18" s="38"/>
    </row>
    <row r="19" spans="1:13" s="51" customFormat="1" ht="14.45" customHeight="1">
      <c r="B19" s="186" t="s">
        <v>191</v>
      </c>
      <c r="C19" s="186"/>
      <c r="D19" s="186"/>
      <c r="E19" s="186"/>
      <c r="F19" s="186"/>
      <c r="H19" s="38"/>
      <c r="I19" s="38"/>
      <c r="J19" s="38"/>
    </row>
    <row r="20" spans="1:13" s="51" customFormat="1" ht="14.45" customHeight="1">
      <c r="B20" s="185" t="s">
        <v>192</v>
      </c>
      <c r="C20" s="185"/>
      <c r="D20" s="185"/>
      <c r="E20" s="185"/>
      <c r="F20" s="185"/>
      <c r="H20" s="38"/>
      <c r="I20" s="38"/>
      <c r="J20" s="38"/>
    </row>
    <row r="21" spans="1:13" s="51" customFormat="1" ht="14.45" customHeight="1">
      <c r="B21" s="99" t="s">
        <v>193</v>
      </c>
      <c r="C21" s="99" t="s">
        <v>194</v>
      </c>
      <c r="D21" s="99" t="s">
        <v>195</v>
      </c>
      <c r="E21" s="99" t="s">
        <v>196</v>
      </c>
      <c r="F21" s="99" t="s">
        <v>197</v>
      </c>
      <c r="H21" s="38"/>
      <c r="I21" s="38"/>
      <c r="J21" s="38"/>
    </row>
    <row r="22" spans="1:13" s="51" customFormat="1" ht="14.45" customHeight="1">
      <c r="B22" s="42">
        <v>0</v>
      </c>
      <c r="C22" s="42">
        <v>-5.62</v>
      </c>
      <c r="D22" s="42">
        <v>-5.62</v>
      </c>
      <c r="E22" s="42">
        <v>-5.62</v>
      </c>
      <c r="F22" s="42">
        <v>-5.62</v>
      </c>
      <c r="H22" s="38"/>
      <c r="I22" s="38"/>
      <c r="J22" s="38"/>
    </row>
    <row r="23" spans="1:13" s="51" customFormat="1" ht="14.45" customHeight="1">
      <c r="B23" s="42">
        <v>357.92</v>
      </c>
      <c r="C23" s="42">
        <v>-1.83</v>
      </c>
      <c r="D23" s="42">
        <v>-1.83</v>
      </c>
      <c r="E23" s="42">
        <v>356.09</v>
      </c>
      <c r="F23" s="42">
        <v>356.09</v>
      </c>
      <c r="H23" s="38"/>
      <c r="I23" s="38"/>
      <c r="J23" s="38"/>
    </row>
    <row r="24" spans="1:13" s="51" customFormat="1" ht="14.45" customHeight="1">
      <c r="B24" s="42">
        <v>715.42</v>
      </c>
      <c r="C24" s="42">
        <v>-3.51</v>
      </c>
      <c r="D24" s="42">
        <v>-3.51</v>
      </c>
      <c r="E24" s="42">
        <v>711.91</v>
      </c>
      <c r="F24" s="42">
        <v>711.91</v>
      </c>
      <c r="H24" s="38"/>
      <c r="I24" s="38"/>
      <c r="J24" s="38"/>
    </row>
    <row r="25" spans="1:13" s="51" customFormat="1" ht="14.45" customHeight="1">
      <c r="B25" s="42">
        <v>1072.08</v>
      </c>
      <c r="C25" s="42">
        <v>-5.1100000000000003</v>
      </c>
      <c r="D25" s="42">
        <v>-5.1100000000000003</v>
      </c>
      <c r="E25" s="42">
        <v>1066.98</v>
      </c>
      <c r="F25" s="42">
        <v>1066.97</v>
      </c>
      <c r="H25" s="38"/>
      <c r="I25" s="38"/>
      <c r="J25" s="38"/>
    </row>
    <row r="26" spans="1:13" s="51" customFormat="1" ht="14.45" customHeight="1">
      <c r="B26" s="42">
        <v>1430</v>
      </c>
      <c r="C26" s="42">
        <v>-5.61</v>
      </c>
      <c r="D26" s="42">
        <v>-5.61</v>
      </c>
      <c r="E26" s="42">
        <v>1424.39</v>
      </c>
      <c r="F26" s="42">
        <v>1424.39</v>
      </c>
      <c r="H26" s="38"/>
      <c r="I26" s="38"/>
      <c r="J26" s="38"/>
    </row>
    <row r="27" spans="1:13" s="51" customFormat="1" ht="14.45" customHeight="1">
      <c r="B27" s="42">
        <v>1788.75</v>
      </c>
      <c r="C27" s="42">
        <v>-7.73</v>
      </c>
      <c r="D27" s="42">
        <v>-7.73</v>
      </c>
      <c r="E27" s="42">
        <v>1781.02</v>
      </c>
      <c r="F27" s="42">
        <v>1781.02</v>
      </c>
      <c r="H27" s="38"/>
      <c r="I27" s="38"/>
      <c r="J27" s="38"/>
    </row>
    <row r="28" spans="1:13" s="51" customFormat="1" ht="14.45" customHeight="1">
      <c r="B28" s="42">
        <v>2145.42</v>
      </c>
      <c r="C28" s="42">
        <v>-11.76</v>
      </c>
      <c r="D28" s="42">
        <v>2133.66</v>
      </c>
      <c r="E28" s="42">
        <v>2133.66</v>
      </c>
      <c r="F28" s="42">
        <v>2133.66</v>
      </c>
      <c r="H28" s="38"/>
      <c r="I28" s="38"/>
      <c r="J28" s="38"/>
    </row>
    <row r="29" spans="1:13" s="51" customFormat="1" ht="14.45" customHeight="1">
      <c r="B29" s="42">
        <v>2507.5</v>
      </c>
      <c r="C29" s="42">
        <v>-4.04</v>
      </c>
      <c r="D29" s="42">
        <v>-4.04</v>
      </c>
      <c r="E29" s="42">
        <v>2503.46</v>
      </c>
      <c r="F29" s="42">
        <v>2503.46</v>
      </c>
      <c r="H29" s="38"/>
      <c r="I29" s="38"/>
      <c r="J29" s="38"/>
    </row>
    <row r="30" spans="1:13" s="51" customFormat="1" ht="14.45" customHeight="1">
      <c r="B30" s="185" t="s">
        <v>198</v>
      </c>
      <c r="C30" s="185"/>
      <c r="D30" s="185"/>
      <c r="E30" s="185"/>
      <c r="F30" s="185"/>
      <c r="H30" s="38"/>
      <c r="I30" s="38"/>
      <c r="J30" s="38"/>
    </row>
    <row r="31" spans="1:13" s="51" customFormat="1" ht="14.45" customHeight="1">
      <c r="B31" s="99" t="s">
        <v>193</v>
      </c>
      <c r="C31" s="99" t="s">
        <v>194</v>
      </c>
      <c r="D31" s="99" t="s">
        <v>195</v>
      </c>
      <c r="E31" s="99" t="s">
        <v>196</v>
      </c>
      <c r="F31" s="99" t="s">
        <v>197</v>
      </c>
      <c r="H31" s="38"/>
      <c r="I31" s="38"/>
      <c r="J31" s="38"/>
    </row>
    <row r="32" spans="1:13" s="51" customFormat="1" ht="14.45" customHeight="1">
      <c r="B32" s="42">
        <v>0</v>
      </c>
      <c r="C32" s="42">
        <v>0</v>
      </c>
      <c r="D32" s="42">
        <v>0</v>
      </c>
      <c r="E32" s="42">
        <v>0</v>
      </c>
      <c r="F32" s="42">
        <v>0</v>
      </c>
      <c r="H32" s="38"/>
      <c r="I32" s="38"/>
      <c r="J32" s="38"/>
    </row>
    <row r="33" spans="2:22" s="51" customFormat="1" ht="14.45" customHeight="1">
      <c r="B33" s="42">
        <v>0</v>
      </c>
      <c r="C33" s="42">
        <v>0</v>
      </c>
      <c r="D33" s="42">
        <v>0</v>
      </c>
      <c r="E33" s="42">
        <v>0</v>
      </c>
      <c r="F33" s="42">
        <v>0</v>
      </c>
      <c r="H33" s="38"/>
      <c r="I33" s="38"/>
      <c r="J33" s="38"/>
    </row>
    <row r="34" spans="2:22" s="51" customFormat="1" ht="14.45" customHeight="1">
      <c r="B34" s="42">
        <v>0</v>
      </c>
      <c r="C34" s="42">
        <v>0</v>
      </c>
      <c r="D34" s="42">
        <v>0</v>
      </c>
      <c r="E34" s="42">
        <v>0</v>
      </c>
      <c r="F34" s="42">
        <v>0</v>
      </c>
      <c r="H34" s="38"/>
      <c r="I34" s="38"/>
      <c r="J34" s="38"/>
    </row>
    <row r="35" spans="2:22" s="51" customFormat="1" ht="14.45" customHeight="1">
      <c r="B35" s="42">
        <v>0</v>
      </c>
      <c r="C35" s="42">
        <v>0</v>
      </c>
      <c r="D35" s="42">
        <v>0</v>
      </c>
      <c r="E35" s="42">
        <v>0</v>
      </c>
      <c r="F35" s="42">
        <v>0</v>
      </c>
      <c r="H35" s="38"/>
      <c r="I35" s="38"/>
      <c r="J35" s="38"/>
    </row>
    <row r="36" spans="2:22" s="51" customFormat="1" ht="14.45" customHeight="1">
      <c r="B36" s="42">
        <v>0</v>
      </c>
      <c r="C36" s="42">
        <v>0</v>
      </c>
      <c r="D36" s="42">
        <v>0</v>
      </c>
      <c r="E36" s="42">
        <v>0</v>
      </c>
      <c r="F36" s="42">
        <v>0</v>
      </c>
      <c r="H36" s="38"/>
      <c r="I36" s="38"/>
      <c r="J36" s="38"/>
    </row>
    <row r="37" spans="2:22" s="51" customFormat="1" ht="14.45" customHeight="1">
      <c r="B37" s="42">
        <v>0</v>
      </c>
      <c r="C37" s="42">
        <v>0</v>
      </c>
      <c r="D37" s="42">
        <v>0</v>
      </c>
      <c r="E37" s="42">
        <v>0</v>
      </c>
      <c r="F37" s="42">
        <v>0</v>
      </c>
      <c r="H37" s="38"/>
      <c r="I37" s="38"/>
      <c r="J37" s="38"/>
    </row>
    <row r="38" spans="2:22" s="51" customFormat="1" ht="14.45" customHeight="1">
      <c r="B38" s="42">
        <v>0</v>
      </c>
      <c r="C38" s="42">
        <v>0</v>
      </c>
      <c r="D38" s="42">
        <v>0</v>
      </c>
      <c r="E38" s="42">
        <v>0</v>
      </c>
      <c r="F38" s="42">
        <v>0</v>
      </c>
      <c r="H38" s="38"/>
      <c r="I38" s="38"/>
      <c r="J38" s="38"/>
    </row>
    <row r="39" spans="2:22" s="51" customFormat="1" ht="14.45" customHeight="1">
      <c r="B39" s="42">
        <v>0</v>
      </c>
      <c r="C39" s="42">
        <v>0</v>
      </c>
      <c r="D39" s="42">
        <v>0</v>
      </c>
      <c r="E39" s="42">
        <v>0</v>
      </c>
      <c r="F39" s="42">
        <v>0</v>
      </c>
      <c r="H39" s="38"/>
      <c r="I39" s="38"/>
      <c r="J39" s="38"/>
    </row>
    <row r="41" spans="2:22" ht="30" customHeight="1">
      <c r="B41" s="49" t="s">
        <v>143</v>
      </c>
      <c r="C41" s="49" t="s">
        <v>144</v>
      </c>
      <c r="D41" s="49" t="s">
        <v>12</v>
      </c>
      <c r="E41" s="49" t="s">
        <v>145</v>
      </c>
      <c r="F41" s="49" t="s">
        <v>146</v>
      </c>
      <c r="G41" s="49" t="s">
        <v>185</v>
      </c>
      <c r="H41" s="49" t="s">
        <v>162</v>
      </c>
      <c r="I41" s="56"/>
    </row>
    <row r="42" spans="2:22" ht="16.899999999999999" customHeight="1">
      <c r="B42" s="44" t="s">
        <v>147</v>
      </c>
      <c r="C42" s="42" t="s">
        <v>203</v>
      </c>
      <c r="D42" s="42" t="s">
        <v>204</v>
      </c>
      <c r="E42" s="42" t="s">
        <v>205</v>
      </c>
      <c r="F42" s="50" t="s">
        <v>49</v>
      </c>
      <c r="G42" s="183">
        <f>F43</f>
        <v>45824</v>
      </c>
      <c r="H42" s="183">
        <f>G42+180</f>
        <v>46004</v>
      </c>
      <c r="I42" s="39"/>
    </row>
    <row r="43" spans="2:22" ht="28.15" customHeight="1">
      <c r="B43" s="58" t="s">
        <v>165</v>
      </c>
      <c r="C43" s="42" t="s">
        <v>215</v>
      </c>
      <c r="D43" s="42" t="s">
        <v>98</v>
      </c>
      <c r="E43" s="93" t="s">
        <v>99</v>
      </c>
      <c r="F43" s="50">
        <v>45824</v>
      </c>
      <c r="G43" s="183"/>
      <c r="H43" s="183"/>
      <c r="I43" s="39"/>
    </row>
    <row r="44" spans="2:22" ht="15" customHeight="1"/>
    <row r="45" spans="2:22" ht="24.6" customHeight="1">
      <c r="B45" s="227" t="s">
        <v>216</v>
      </c>
      <c r="C45" s="228"/>
      <c r="D45" s="228"/>
      <c r="E45" s="228"/>
      <c r="F45" s="228"/>
      <c r="G45" s="228"/>
      <c r="H45" s="228"/>
      <c r="I45" s="228"/>
      <c r="J45" s="229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2:22" s="51" customFormat="1" ht="14.45" customHeight="1">
      <c r="B46" s="195" t="s">
        <v>169</v>
      </c>
      <c r="C46" s="196"/>
      <c r="D46" s="109">
        <v>45911</v>
      </c>
      <c r="E46" s="110"/>
      <c r="F46" s="215"/>
      <c r="G46" s="216"/>
      <c r="H46" s="216"/>
      <c r="I46" s="216"/>
      <c r="J46" s="217"/>
    </row>
    <row r="47" spans="2:22" s="51" customFormat="1" ht="14.45" customHeight="1">
      <c r="B47" s="195" t="s">
        <v>170</v>
      </c>
      <c r="C47" s="196"/>
      <c r="D47" s="72" t="s">
        <v>171</v>
      </c>
      <c r="E47" s="72"/>
      <c r="F47" s="218"/>
      <c r="G47" s="219"/>
      <c r="H47" s="219"/>
      <c r="I47" s="219"/>
      <c r="J47" s="220"/>
    </row>
    <row r="48" spans="2:22" ht="47.45" customHeight="1">
      <c r="B48" s="85" t="s">
        <v>208</v>
      </c>
      <c r="C48" s="49" t="s">
        <v>209</v>
      </c>
      <c r="D48" s="49" t="s">
        <v>210</v>
      </c>
      <c r="E48" s="49" t="s">
        <v>211</v>
      </c>
      <c r="F48" s="43" t="s">
        <v>212</v>
      </c>
      <c r="G48" s="43" t="s">
        <v>213</v>
      </c>
      <c r="H48" s="43" t="s">
        <v>154</v>
      </c>
      <c r="I48" s="58" t="s">
        <v>166</v>
      </c>
      <c r="J48" s="42">
        <v>0</v>
      </c>
      <c r="K48" s="51"/>
      <c r="L48" s="76" t="s">
        <v>155</v>
      </c>
      <c r="M48" s="42" t="s">
        <v>156</v>
      </c>
      <c r="N48" s="51"/>
      <c r="O48" s="51"/>
      <c r="P48" s="51"/>
      <c r="Q48" s="51"/>
      <c r="R48" s="51"/>
      <c r="S48" s="51"/>
      <c r="T48" s="51"/>
      <c r="U48" s="51"/>
      <c r="V48" s="51"/>
    </row>
    <row r="49" spans="2:22" ht="21.6" customHeight="1">
      <c r="B49" s="44">
        <v>0</v>
      </c>
      <c r="C49" s="44">
        <f>B49*2.205</f>
        <v>0</v>
      </c>
      <c r="D49" s="44">
        <v>55.52</v>
      </c>
      <c r="E49" s="44"/>
      <c r="F49" s="44" t="str">
        <f>IF(E49="","",D49-E49)</f>
        <v/>
      </c>
      <c r="G49" s="44">
        <v>20</v>
      </c>
      <c r="H49" s="173" t="str">
        <f>IF(AND(,F49&gt;G49,F50&gt;G50,F51&gt;G51,F52&gt;G52,F53&gt;G53,F54&gt;G54,F55&gt;G55,F56&gt;G56),"EQUIPO NO CUMPLE ESPECIFICACIÓN","EQUIPO CUMPLE ESPECIFICACIÓN")</f>
        <v>EQUIPO CUMPLE ESPECIFICACIÓN</v>
      </c>
      <c r="I49" s="44" t="s">
        <v>157</v>
      </c>
      <c r="J49" s="42">
        <v>0</v>
      </c>
      <c r="K49" s="51"/>
      <c r="L49" s="42">
        <f>G49</f>
        <v>20</v>
      </c>
      <c r="M49" s="42">
        <f>-G49</f>
        <v>-20</v>
      </c>
      <c r="N49" s="51"/>
      <c r="O49" s="51"/>
      <c r="P49" s="51"/>
      <c r="Q49" s="51"/>
      <c r="R49" s="51"/>
      <c r="S49" s="51"/>
      <c r="T49" s="51"/>
      <c r="U49" s="51"/>
      <c r="V49" s="51"/>
    </row>
    <row r="50" spans="2:22" ht="21.6" customHeight="1">
      <c r="B50" s="44">
        <v>286</v>
      </c>
      <c r="C50" s="44">
        <f t="shared" ref="C50:C56" si="4">B50*2.205</f>
        <v>630.63</v>
      </c>
      <c r="D50" s="44">
        <v>637.04</v>
      </c>
      <c r="E50" s="44"/>
      <c r="F50" s="44" t="str">
        <f t="shared" ref="F50:F56" si="5">IF(E50="","",D50-E50)</f>
        <v/>
      </c>
      <c r="G50" s="44">
        <v>20</v>
      </c>
      <c r="H50" s="173"/>
      <c r="I50" s="44" t="s">
        <v>158</v>
      </c>
      <c r="J50" s="42">
        <v>0</v>
      </c>
      <c r="K50" s="51"/>
      <c r="L50" s="42">
        <f t="shared" ref="L50:L56" si="6">G50</f>
        <v>20</v>
      </c>
      <c r="M50" s="42">
        <f t="shared" ref="M50:M56" si="7">-G50</f>
        <v>-20</v>
      </c>
      <c r="N50" s="51"/>
      <c r="O50" s="51"/>
      <c r="P50" s="51"/>
      <c r="Q50" s="51"/>
      <c r="R50" s="51"/>
      <c r="S50" s="51"/>
      <c r="T50" s="51"/>
      <c r="U50" s="51"/>
      <c r="V50" s="51"/>
    </row>
    <row r="51" spans="2:22" ht="21.6" customHeight="1">
      <c r="B51" s="44">
        <v>572</v>
      </c>
      <c r="C51" s="44">
        <f t="shared" si="4"/>
        <v>1261.26</v>
      </c>
      <c r="D51" s="44">
        <v>1271.78</v>
      </c>
      <c r="E51" s="44"/>
      <c r="F51" s="44" t="str">
        <f t="shared" si="5"/>
        <v/>
      </c>
      <c r="G51" s="44">
        <v>20</v>
      </c>
      <c r="H51" s="173"/>
      <c r="I51" s="44" t="s">
        <v>159</v>
      </c>
      <c r="J51" s="42" t="s">
        <v>214</v>
      </c>
      <c r="K51" s="51"/>
      <c r="L51" s="42">
        <f t="shared" si="6"/>
        <v>20</v>
      </c>
      <c r="M51" s="42">
        <f t="shared" si="7"/>
        <v>-20</v>
      </c>
      <c r="N51" s="51"/>
      <c r="O51" s="51"/>
      <c r="P51" s="51"/>
      <c r="Q51" s="51"/>
      <c r="R51" s="51"/>
      <c r="S51" s="51"/>
      <c r="T51" s="51"/>
      <c r="U51" s="51"/>
      <c r="V51" s="51"/>
    </row>
    <row r="52" spans="2:22" ht="21.6" customHeight="1">
      <c r="B52" s="44">
        <v>858</v>
      </c>
      <c r="C52" s="44">
        <f t="shared" si="4"/>
        <v>1891.89</v>
      </c>
      <c r="D52" s="44">
        <v>1899.81</v>
      </c>
      <c r="E52" s="44"/>
      <c r="F52" s="44" t="str">
        <f t="shared" si="5"/>
        <v/>
      </c>
      <c r="G52" s="44">
        <v>20</v>
      </c>
      <c r="H52" s="173"/>
      <c r="I52" s="44" t="s">
        <v>146</v>
      </c>
      <c r="J52" s="50">
        <v>45839</v>
      </c>
      <c r="K52" s="51"/>
      <c r="L52" s="42">
        <f t="shared" si="6"/>
        <v>20</v>
      </c>
      <c r="M52" s="42">
        <f t="shared" si="7"/>
        <v>-20</v>
      </c>
      <c r="N52" s="51"/>
      <c r="O52" s="51"/>
      <c r="P52" s="51"/>
      <c r="Q52" s="51"/>
      <c r="R52" s="51"/>
      <c r="S52" s="51"/>
      <c r="T52" s="51"/>
      <c r="U52" s="51"/>
      <c r="V52" s="51"/>
    </row>
    <row r="53" spans="2:22" ht="21.6" customHeight="1">
      <c r="B53" s="44">
        <v>1144</v>
      </c>
      <c r="C53" s="44">
        <f t="shared" si="4"/>
        <v>2522.52</v>
      </c>
      <c r="D53" s="44">
        <v>2526.9899999999998</v>
      </c>
      <c r="E53" s="44"/>
      <c r="F53" s="44" t="str">
        <f t="shared" si="5"/>
        <v/>
      </c>
      <c r="G53" s="44">
        <v>20</v>
      </c>
      <c r="H53" s="173"/>
      <c r="I53" s="187" t="s">
        <v>161</v>
      </c>
      <c r="J53" s="188"/>
      <c r="K53" s="51"/>
      <c r="L53" s="42">
        <f t="shared" si="6"/>
        <v>20</v>
      </c>
      <c r="M53" s="42">
        <f t="shared" si="7"/>
        <v>-20</v>
      </c>
      <c r="N53" s="51"/>
      <c r="O53" s="51"/>
      <c r="P53" s="51"/>
      <c r="Q53" s="51"/>
      <c r="R53" s="51"/>
      <c r="S53" s="51"/>
      <c r="T53" s="51"/>
      <c r="U53" s="51"/>
      <c r="V53" s="51"/>
    </row>
    <row r="54" spans="2:22" ht="21.6" customHeight="1">
      <c r="B54" s="44">
        <v>1430</v>
      </c>
      <c r="C54" s="44">
        <f t="shared" si="4"/>
        <v>3153.15</v>
      </c>
      <c r="D54" s="44">
        <v>3153.23</v>
      </c>
      <c r="E54" s="44"/>
      <c r="F54" s="44" t="str">
        <f t="shared" si="5"/>
        <v/>
      </c>
      <c r="G54" s="44">
        <v>20</v>
      </c>
      <c r="H54" s="173"/>
      <c r="I54" s="189"/>
      <c r="J54" s="190"/>
      <c r="K54" s="51"/>
      <c r="L54" s="42">
        <f t="shared" si="6"/>
        <v>20</v>
      </c>
      <c r="M54" s="42">
        <f t="shared" si="7"/>
        <v>-20</v>
      </c>
      <c r="N54" s="51"/>
      <c r="O54" s="51"/>
      <c r="P54" s="51"/>
      <c r="Q54" s="51"/>
      <c r="R54" s="51"/>
      <c r="S54" s="51"/>
      <c r="T54" s="51"/>
      <c r="U54" s="51"/>
      <c r="V54" s="51"/>
    </row>
    <row r="55" spans="2:22" ht="21.6" customHeight="1">
      <c r="B55" s="44">
        <v>1716</v>
      </c>
      <c r="C55" s="44">
        <f t="shared" si="4"/>
        <v>3783.78</v>
      </c>
      <c r="D55" s="44">
        <v>3792.67</v>
      </c>
      <c r="E55" s="44"/>
      <c r="F55" s="44" t="str">
        <f t="shared" si="5"/>
        <v/>
      </c>
      <c r="G55" s="44">
        <v>20</v>
      </c>
      <c r="H55" s="173"/>
      <c r="I55" s="189"/>
      <c r="J55" s="190"/>
      <c r="K55" s="51"/>
      <c r="L55" s="42">
        <f t="shared" si="6"/>
        <v>20</v>
      </c>
      <c r="M55" s="42">
        <f t="shared" si="7"/>
        <v>-20</v>
      </c>
      <c r="N55" s="51"/>
      <c r="O55" s="51"/>
      <c r="P55" s="51"/>
      <c r="Q55" s="51"/>
      <c r="R55" s="51"/>
      <c r="S55" s="51"/>
      <c r="T55" s="51"/>
      <c r="U55" s="51"/>
      <c r="V55" s="51"/>
    </row>
    <row r="56" spans="2:22" ht="21.6" customHeight="1">
      <c r="B56" s="44">
        <v>1996</v>
      </c>
      <c r="C56" s="44">
        <f t="shared" si="4"/>
        <v>4401.18</v>
      </c>
      <c r="D56" s="44">
        <v>4412.8500000000004</v>
      </c>
      <c r="E56" s="44"/>
      <c r="F56" s="44" t="str">
        <f t="shared" si="5"/>
        <v/>
      </c>
      <c r="G56" s="44">
        <v>20</v>
      </c>
      <c r="H56" s="174"/>
      <c r="I56" s="191"/>
      <c r="J56" s="192"/>
      <c r="K56" s="51"/>
      <c r="L56" s="42">
        <f t="shared" si="6"/>
        <v>20</v>
      </c>
      <c r="M56" s="42">
        <f t="shared" si="7"/>
        <v>-20</v>
      </c>
      <c r="N56" s="51"/>
      <c r="O56" s="51"/>
      <c r="P56" s="51"/>
      <c r="Q56" s="51"/>
      <c r="R56" s="51"/>
      <c r="S56" s="51"/>
      <c r="T56" s="51"/>
      <c r="U56" s="51"/>
      <c r="V56" s="51"/>
    </row>
    <row r="57" spans="2:22" ht="14.45" customHeight="1">
      <c r="B57" s="51"/>
      <c r="C57" s="51"/>
      <c r="D57" s="51"/>
      <c r="E57" s="51"/>
      <c r="F57" s="51"/>
      <c r="G57" s="51"/>
      <c r="H57" s="38"/>
      <c r="I57" s="38"/>
      <c r="J57" s="38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2:22" s="51" customFormat="1" ht="14.45" customHeight="1">
      <c r="B58" s="186" t="s">
        <v>191</v>
      </c>
      <c r="C58" s="186"/>
      <c r="D58" s="186"/>
      <c r="E58" s="186"/>
      <c r="F58" s="186"/>
      <c r="H58" s="38"/>
      <c r="I58" s="38"/>
      <c r="J58" s="38"/>
    </row>
    <row r="59" spans="2:22" s="51" customFormat="1" ht="14.45" customHeight="1">
      <c r="B59" s="208" t="s">
        <v>192</v>
      </c>
      <c r="C59" s="208"/>
      <c r="D59" s="208"/>
      <c r="E59" s="208"/>
      <c r="F59" s="208"/>
      <c r="H59" s="38"/>
      <c r="I59" s="38"/>
      <c r="J59" s="38"/>
    </row>
    <row r="60" spans="2:22" s="51" customFormat="1" ht="14.45" customHeight="1">
      <c r="B60" s="99" t="s">
        <v>193</v>
      </c>
      <c r="C60" s="99" t="s">
        <v>194</v>
      </c>
      <c r="D60" s="99" t="s">
        <v>195</v>
      </c>
      <c r="E60" s="99" t="s">
        <v>196</v>
      </c>
      <c r="F60" s="99" t="s">
        <v>197</v>
      </c>
      <c r="H60" s="38"/>
      <c r="I60" s="38"/>
      <c r="J60" s="38"/>
    </row>
    <row r="61" spans="2:22" s="51" customFormat="1" ht="14.45" customHeight="1">
      <c r="B61" s="42">
        <v>8.08</v>
      </c>
      <c r="C61" s="42">
        <v>47.44</v>
      </c>
      <c r="D61" s="42">
        <v>47.44</v>
      </c>
      <c r="E61" s="42">
        <v>55.52</v>
      </c>
      <c r="F61" s="42">
        <v>55.52</v>
      </c>
      <c r="H61" s="38"/>
      <c r="I61" s="38"/>
      <c r="J61" s="38"/>
    </row>
    <row r="62" spans="2:22" s="51" customFormat="1" ht="14.45" customHeight="1">
      <c r="B62" s="42">
        <v>642.24</v>
      </c>
      <c r="C62" s="42">
        <v>-5.21</v>
      </c>
      <c r="D62" s="42">
        <v>-5.21</v>
      </c>
      <c r="E62" s="42">
        <v>637.04</v>
      </c>
      <c r="F62" s="42">
        <v>637.03</v>
      </c>
      <c r="H62" s="38"/>
      <c r="I62" s="38"/>
      <c r="J62" s="38"/>
    </row>
    <row r="63" spans="2:22" s="51" customFormat="1" ht="14.45" customHeight="1">
      <c r="B63" s="42">
        <v>1275.67</v>
      </c>
      <c r="C63" s="42">
        <v>-3.89</v>
      </c>
      <c r="D63" s="42">
        <v>-3.89</v>
      </c>
      <c r="E63" s="42">
        <v>1271.78</v>
      </c>
      <c r="F63" s="42">
        <v>1271.78</v>
      </c>
      <c r="H63" s="38"/>
      <c r="I63" s="38"/>
      <c r="J63" s="38"/>
    </row>
    <row r="64" spans="2:22" s="51" customFormat="1" ht="14.45" customHeight="1">
      <c r="B64" s="42">
        <v>1912.04</v>
      </c>
      <c r="C64" s="42">
        <v>-12.23</v>
      </c>
      <c r="D64" s="42">
        <v>-12.23</v>
      </c>
      <c r="E64" s="42">
        <v>1899.81</v>
      </c>
      <c r="F64" s="42">
        <v>1899.81</v>
      </c>
      <c r="H64" s="38"/>
      <c r="I64" s="38"/>
      <c r="J64" s="38"/>
    </row>
    <row r="65" spans="2:12" s="51" customFormat="1" ht="14.45" customHeight="1">
      <c r="B65" s="42">
        <v>2546.1999999999998</v>
      </c>
      <c r="C65" s="42">
        <v>-19.2</v>
      </c>
      <c r="D65" s="42">
        <v>-19.2</v>
      </c>
      <c r="E65" s="42">
        <v>2526.9899999999998</v>
      </c>
      <c r="F65" s="42">
        <v>2527</v>
      </c>
      <c r="H65" s="38"/>
      <c r="I65" s="38"/>
      <c r="J65" s="38"/>
    </row>
    <row r="66" spans="2:12" s="51" customFormat="1" ht="14.45" customHeight="1">
      <c r="B66" s="42">
        <v>3167.13</v>
      </c>
      <c r="C66" s="42">
        <v>-13.91</v>
      </c>
      <c r="D66" s="42">
        <v>-13.9</v>
      </c>
      <c r="E66" s="42">
        <v>3153.23</v>
      </c>
      <c r="F66" s="42">
        <v>3153.23</v>
      </c>
      <c r="H66" s="38"/>
      <c r="I66" s="38"/>
      <c r="J66" s="38"/>
    </row>
    <row r="67" spans="2:12" s="51" customFormat="1" ht="14.45" customHeight="1">
      <c r="B67" s="42">
        <v>3799.82</v>
      </c>
      <c r="C67" s="42">
        <v>-7.15</v>
      </c>
      <c r="D67" s="42">
        <v>-7.15</v>
      </c>
      <c r="E67" s="42">
        <v>3792.67</v>
      </c>
      <c r="F67" s="42">
        <v>3792.67</v>
      </c>
      <c r="H67" s="38"/>
      <c r="I67" s="38"/>
      <c r="J67" s="38"/>
    </row>
    <row r="68" spans="2:12" s="51" customFormat="1" ht="14.45" customHeight="1">
      <c r="B68" s="42">
        <v>4417.82</v>
      </c>
      <c r="C68" s="42">
        <v>-4.97</v>
      </c>
      <c r="D68" s="42">
        <v>-4.97</v>
      </c>
      <c r="E68" s="42">
        <v>4412.8500000000004</v>
      </c>
      <c r="F68" s="42">
        <v>4412.8500000000004</v>
      </c>
      <c r="H68" s="38"/>
      <c r="I68" s="38"/>
      <c r="J68" s="38"/>
    </row>
    <row r="69" spans="2:12" s="51" customFormat="1" ht="4.9000000000000004" customHeight="1">
      <c r="B69" s="209"/>
      <c r="C69" s="210"/>
      <c r="D69" s="210"/>
      <c r="E69" s="210"/>
      <c r="F69" s="211"/>
      <c r="H69" s="38"/>
      <c r="I69" s="38"/>
      <c r="J69" s="38"/>
    </row>
    <row r="70" spans="2:12" s="51" customFormat="1" ht="14.45" customHeight="1">
      <c r="B70" s="208" t="s">
        <v>198</v>
      </c>
      <c r="C70" s="208"/>
      <c r="D70" s="208"/>
      <c r="E70" s="208"/>
      <c r="F70" s="208"/>
      <c r="H70" s="38"/>
      <c r="I70" s="38"/>
      <c r="J70" s="38"/>
    </row>
    <row r="71" spans="2:12" s="51" customFormat="1" ht="14.45" customHeight="1">
      <c r="B71" s="99" t="s">
        <v>193</v>
      </c>
      <c r="C71" s="99" t="s">
        <v>194</v>
      </c>
      <c r="D71" s="99" t="s">
        <v>195</v>
      </c>
      <c r="E71" s="99" t="s">
        <v>196</v>
      </c>
      <c r="F71" s="99" t="s">
        <v>197</v>
      </c>
      <c r="H71" s="38"/>
      <c r="I71" s="38"/>
      <c r="J71" s="38"/>
    </row>
    <row r="72" spans="2:12" s="51" customFormat="1" ht="14.45" customHeight="1">
      <c r="B72" s="42">
        <v>0</v>
      </c>
      <c r="C72" s="42">
        <v>0</v>
      </c>
      <c r="D72" s="42">
        <v>0</v>
      </c>
      <c r="E72" s="42">
        <v>0</v>
      </c>
      <c r="F72" s="42">
        <v>0</v>
      </c>
      <c r="H72" s="38"/>
      <c r="I72" s="38"/>
      <c r="J72" s="38"/>
    </row>
    <row r="73" spans="2:12" s="51" customFormat="1" ht="14.45" customHeight="1">
      <c r="B73" s="42">
        <v>0</v>
      </c>
      <c r="C73" s="42">
        <v>0</v>
      </c>
      <c r="D73" s="42">
        <v>0</v>
      </c>
      <c r="E73" s="42">
        <v>0</v>
      </c>
      <c r="F73" s="42">
        <v>0</v>
      </c>
      <c r="H73" s="38"/>
      <c r="I73" s="38"/>
      <c r="J73" s="38"/>
    </row>
    <row r="74" spans="2:12" s="51" customFormat="1" ht="14.45" customHeight="1">
      <c r="B74" s="42">
        <v>0</v>
      </c>
      <c r="C74" s="42">
        <v>0</v>
      </c>
      <c r="D74" s="42">
        <v>0</v>
      </c>
      <c r="E74" s="42">
        <v>0</v>
      </c>
      <c r="F74" s="42">
        <v>0</v>
      </c>
      <c r="H74" s="38"/>
      <c r="I74" s="38"/>
      <c r="J74" s="38"/>
    </row>
    <row r="75" spans="2:12" s="51" customFormat="1" ht="14.45" customHeight="1">
      <c r="B75" s="42">
        <v>0</v>
      </c>
      <c r="C75" s="42">
        <v>0</v>
      </c>
      <c r="D75" s="42">
        <v>0</v>
      </c>
      <c r="E75" s="42">
        <v>0</v>
      </c>
      <c r="F75" s="42">
        <v>0</v>
      </c>
      <c r="H75" s="38"/>
      <c r="I75" s="38"/>
      <c r="J75" s="38"/>
    </row>
    <row r="76" spans="2:12" s="51" customFormat="1" ht="14.45" customHeight="1">
      <c r="B76" s="42">
        <v>0</v>
      </c>
      <c r="C76" s="42">
        <v>0</v>
      </c>
      <c r="D76" s="42">
        <v>0</v>
      </c>
      <c r="E76" s="42">
        <v>0</v>
      </c>
      <c r="F76" s="42">
        <v>0</v>
      </c>
      <c r="H76" s="38"/>
      <c r="I76" s="38"/>
      <c r="J76" s="38"/>
    </row>
    <row r="77" spans="2:12" s="51" customFormat="1" ht="14.45" customHeight="1">
      <c r="B77" s="42">
        <v>0</v>
      </c>
      <c r="C77" s="42">
        <v>0</v>
      </c>
      <c r="D77" s="42">
        <v>0</v>
      </c>
      <c r="E77" s="42">
        <v>0</v>
      </c>
      <c r="F77" s="42">
        <v>0</v>
      </c>
      <c r="H77" s="38"/>
      <c r="I77" s="38"/>
      <c r="J77" s="38"/>
    </row>
    <row r="78" spans="2:12" s="51" customFormat="1" ht="14.45" customHeight="1">
      <c r="B78" s="42">
        <v>0</v>
      </c>
      <c r="C78" s="42">
        <v>0</v>
      </c>
      <c r="D78" s="42">
        <v>0</v>
      </c>
      <c r="E78" s="42">
        <v>0</v>
      </c>
      <c r="F78" s="42">
        <v>0</v>
      </c>
      <c r="H78" s="38"/>
      <c r="I78" s="38"/>
      <c r="J78" s="38"/>
    </row>
    <row r="79" spans="2:12" s="51" customFormat="1" ht="14.45" customHeight="1">
      <c r="B79" s="42">
        <v>0</v>
      </c>
      <c r="C79" s="42">
        <v>0</v>
      </c>
      <c r="D79" s="42">
        <v>0</v>
      </c>
      <c r="E79" s="42">
        <v>0</v>
      </c>
      <c r="F79" s="42">
        <v>0</v>
      </c>
      <c r="H79" s="38"/>
      <c r="I79" s="38"/>
      <c r="J79" s="38"/>
    </row>
    <row r="80" spans="2:12" ht="15" customHeight="1">
      <c r="B80" s="111"/>
      <c r="C80" s="111"/>
      <c r="D80" s="111"/>
      <c r="E80" s="111"/>
      <c r="F80" s="40"/>
      <c r="H80" s="38"/>
      <c r="I80" s="51"/>
      <c r="K80" s="57"/>
      <c r="L80" s="57"/>
    </row>
    <row r="81" spans="2:22" ht="30" customHeight="1">
      <c r="B81" s="49" t="s">
        <v>143</v>
      </c>
      <c r="C81" s="49" t="s">
        <v>144</v>
      </c>
      <c r="D81" s="49" t="s">
        <v>12</v>
      </c>
      <c r="E81" s="49" t="s">
        <v>145</v>
      </c>
      <c r="F81" s="49" t="s">
        <v>146</v>
      </c>
      <c r="G81" s="49" t="s">
        <v>185</v>
      </c>
      <c r="H81" s="49" t="s">
        <v>162</v>
      </c>
      <c r="I81" s="56"/>
    </row>
    <row r="82" spans="2:22" ht="16.899999999999999" customHeight="1">
      <c r="B82" s="44" t="s">
        <v>147</v>
      </c>
      <c r="C82" s="42" t="s">
        <v>203</v>
      </c>
      <c r="D82" s="42" t="s">
        <v>204</v>
      </c>
      <c r="E82" s="42" t="s">
        <v>205</v>
      </c>
      <c r="F82" s="50" t="s">
        <v>49</v>
      </c>
      <c r="G82" s="183">
        <f>F83</f>
        <v>45611</v>
      </c>
      <c r="H82" s="183">
        <f>G82+180</f>
        <v>45791</v>
      </c>
      <c r="I82" s="39"/>
    </row>
    <row r="83" spans="2:22" ht="28.15" customHeight="1">
      <c r="B83" s="58" t="s">
        <v>165</v>
      </c>
      <c r="C83" s="42" t="s">
        <v>91</v>
      </c>
      <c r="D83" s="42" t="s">
        <v>102</v>
      </c>
      <c r="E83" s="42">
        <v>2309210270</v>
      </c>
      <c r="F83" s="50">
        <v>45611</v>
      </c>
      <c r="G83" s="183"/>
      <c r="H83" s="183"/>
      <c r="I83" s="39"/>
    </row>
    <row r="84" spans="2:22" ht="15" customHeight="1"/>
    <row r="85" spans="2:22" ht="24.6" customHeight="1">
      <c r="B85" s="212" t="s">
        <v>217</v>
      </c>
      <c r="C85" s="213"/>
      <c r="D85" s="213"/>
      <c r="E85" s="213"/>
      <c r="F85" s="213"/>
      <c r="G85" s="213"/>
      <c r="H85" s="213"/>
      <c r="I85" s="213"/>
      <c r="J85" s="214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2:22" s="51" customFormat="1" ht="14.45" customHeight="1">
      <c r="B86" s="195" t="s">
        <v>169</v>
      </c>
      <c r="C86" s="196"/>
      <c r="D86" s="109">
        <v>45929</v>
      </c>
      <c r="E86" s="110"/>
      <c r="F86" s="215"/>
      <c r="G86" s="216"/>
      <c r="H86" s="216"/>
      <c r="I86" s="216"/>
      <c r="J86" s="217"/>
    </row>
    <row r="87" spans="2:22" s="51" customFormat="1" ht="14.45" customHeight="1">
      <c r="B87" s="195" t="s">
        <v>170</v>
      </c>
      <c r="C87" s="196"/>
      <c r="D87" s="72" t="s">
        <v>171</v>
      </c>
      <c r="E87" s="72"/>
      <c r="F87" s="218"/>
      <c r="G87" s="219"/>
      <c r="H87" s="219"/>
      <c r="I87" s="219"/>
      <c r="J87" s="220"/>
    </row>
    <row r="88" spans="2:22" ht="47.45" customHeight="1">
      <c r="B88" s="85" t="s">
        <v>208</v>
      </c>
      <c r="C88" s="49" t="s">
        <v>209</v>
      </c>
      <c r="D88" s="49" t="s">
        <v>210</v>
      </c>
      <c r="E88" s="49" t="s">
        <v>211</v>
      </c>
      <c r="F88" s="43" t="s">
        <v>212</v>
      </c>
      <c r="G88" s="43" t="s">
        <v>213</v>
      </c>
      <c r="H88" s="43" t="s">
        <v>154</v>
      </c>
      <c r="I88" s="58" t="s">
        <v>166</v>
      </c>
      <c r="J88" s="42">
        <v>0</v>
      </c>
      <c r="K88" s="51"/>
      <c r="L88" s="76" t="s">
        <v>155</v>
      </c>
      <c r="M88" s="42" t="s">
        <v>156</v>
      </c>
      <c r="N88" s="51"/>
      <c r="O88" s="51"/>
      <c r="P88" s="51"/>
      <c r="Q88" s="51"/>
      <c r="R88" s="51"/>
      <c r="S88" s="51"/>
      <c r="T88" s="51"/>
      <c r="U88" s="51"/>
      <c r="V88" s="51"/>
    </row>
    <row r="89" spans="2:22" ht="21.6" customHeight="1">
      <c r="B89" s="44">
        <v>0</v>
      </c>
      <c r="C89" s="44">
        <f>B89*2.205</f>
        <v>0</v>
      </c>
      <c r="D89" s="44">
        <v>414.78</v>
      </c>
      <c r="E89" s="44"/>
      <c r="F89" s="44" t="str">
        <f>IF(E89="","",D89-E89)</f>
        <v/>
      </c>
      <c r="G89" s="44">
        <v>40</v>
      </c>
      <c r="H89" s="173" t="str">
        <f>IF(AND(,F89&gt;G89,F90&gt;G90,F91&gt;G91,F92&gt;G92,F93&gt;G93,F94&gt;G94,F95&gt;G95,F96&gt;G96),"EQUIPO NO CUMPLE ESPECIFICACIÓN","EQUIPO CUMPLE ESPECIFICACIÓN")</f>
        <v>EQUIPO CUMPLE ESPECIFICACIÓN</v>
      </c>
      <c r="I89" s="44" t="s">
        <v>157</v>
      </c>
      <c r="J89" s="42">
        <v>0</v>
      </c>
      <c r="K89" s="51"/>
      <c r="L89" s="42">
        <f>G89</f>
        <v>40</v>
      </c>
      <c r="M89" s="42">
        <f>-G89</f>
        <v>-40</v>
      </c>
      <c r="N89" s="51"/>
      <c r="O89" s="51"/>
      <c r="P89" s="51"/>
      <c r="Q89" s="51"/>
      <c r="R89" s="51"/>
      <c r="S89" s="51"/>
      <c r="T89" s="51"/>
      <c r="U89" s="51"/>
      <c r="V89" s="51"/>
    </row>
    <row r="90" spans="2:22" ht="21.6" customHeight="1">
      <c r="B90" s="44">
        <v>644</v>
      </c>
      <c r="C90" s="44">
        <f t="shared" ref="C90:C96" si="8">B90*2.205</f>
        <v>1420.02</v>
      </c>
      <c r="D90" s="44">
        <v>1447.03</v>
      </c>
      <c r="E90" s="44"/>
      <c r="F90" s="44" t="str">
        <f t="shared" ref="F90:F96" si="9">IF(E90="","",D90-E90)</f>
        <v/>
      </c>
      <c r="G90" s="44">
        <v>40</v>
      </c>
      <c r="H90" s="173"/>
      <c r="I90" s="44" t="s">
        <v>158</v>
      </c>
      <c r="J90" s="42">
        <v>0</v>
      </c>
      <c r="K90" s="51"/>
      <c r="L90" s="42">
        <f t="shared" ref="L90:L96" si="10">G90</f>
        <v>40</v>
      </c>
      <c r="M90" s="42">
        <f t="shared" ref="M90:M96" si="11">-G90</f>
        <v>-40</v>
      </c>
      <c r="N90" s="51"/>
      <c r="O90" s="51"/>
      <c r="P90" s="51"/>
      <c r="Q90" s="51"/>
      <c r="R90" s="51"/>
      <c r="S90" s="51"/>
      <c r="T90" s="51"/>
      <c r="U90" s="51"/>
      <c r="V90" s="51"/>
    </row>
    <row r="91" spans="2:22" ht="21.6" customHeight="1">
      <c r="B91" s="44">
        <v>1288</v>
      </c>
      <c r="C91" s="44">
        <f t="shared" si="8"/>
        <v>2840.04</v>
      </c>
      <c r="D91" s="44">
        <v>2811.71</v>
      </c>
      <c r="E91" s="44"/>
      <c r="F91" s="44" t="str">
        <f t="shared" si="9"/>
        <v/>
      </c>
      <c r="G91" s="44">
        <v>40</v>
      </c>
      <c r="H91" s="173"/>
      <c r="I91" s="44" t="s">
        <v>159</v>
      </c>
      <c r="J91" s="42" t="s">
        <v>214</v>
      </c>
      <c r="K91" s="51"/>
      <c r="L91" s="42">
        <f t="shared" si="10"/>
        <v>40</v>
      </c>
      <c r="M91" s="42">
        <f t="shared" si="11"/>
        <v>-40</v>
      </c>
      <c r="N91" s="51"/>
      <c r="O91" s="51"/>
      <c r="P91" s="51"/>
      <c r="Q91" s="51"/>
      <c r="R91" s="51"/>
      <c r="S91" s="51"/>
      <c r="T91" s="51"/>
      <c r="U91" s="51"/>
      <c r="V91" s="51"/>
    </row>
    <row r="92" spans="2:22" ht="21.6" customHeight="1">
      <c r="B92" s="44">
        <v>1932</v>
      </c>
      <c r="C92" s="44">
        <f t="shared" si="8"/>
        <v>4260.0600000000004</v>
      </c>
      <c r="D92" s="44">
        <v>4233.91</v>
      </c>
      <c r="E92" s="44"/>
      <c r="F92" s="44" t="str">
        <f t="shared" si="9"/>
        <v/>
      </c>
      <c r="G92" s="44">
        <v>40</v>
      </c>
      <c r="H92" s="173"/>
      <c r="I92" s="44" t="s">
        <v>146</v>
      </c>
      <c r="J92" s="50">
        <v>45839</v>
      </c>
      <c r="K92" s="51"/>
      <c r="L92" s="42">
        <f t="shared" si="10"/>
        <v>40</v>
      </c>
      <c r="M92" s="42">
        <f t="shared" si="11"/>
        <v>-40</v>
      </c>
      <c r="N92" s="51"/>
      <c r="O92" s="51"/>
      <c r="P92" s="51"/>
      <c r="Q92" s="51"/>
      <c r="R92" s="51"/>
      <c r="S92" s="51"/>
      <c r="T92" s="51"/>
      <c r="U92" s="51"/>
      <c r="V92" s="51"/>
    </row>
    <row r="93" spans="2:22" ht="21.6" customHeight="1">
      <c r="B93" s="44">
        <v>2576</v>
      </c>
      <c r="C93" s="44">
        <f t="shared" si="8"/>
        <v>5680.08</v>
      </c>
      <c r="D93" s="44">
        <v>5645.14</v>
      </c>
      <c r="E93" s="44"/>
      <c r="F93" s="44" t="str">
        <f t="shared" si="9"/>
        <v/>
      </c>
      <c r="G93" s="44">
        <v>40</v>
      </c>
      <c r="H93" s="173"/>
      <c r="I93" s="221" t="s">
        <v>161</v>
      </c>
      <c r="J93" s="222"/>
      <c r="K93" s="51"/>
      <c r="L93" s="42">
        <f t="shared" si="10"/>
        <v>40</v>
      </c>
      <c r="M93" s="42">
        <f t="shared" si="11"/>
        <v>-40</v>
      </c>
      <c r="N93" s="51"/>
      <c r="O93" s="51"/>
      <c r="P93" s="51"/>
      <c r="Q93" s="51"/>
      <c r="R93" s="51"/>
      <c r="S93" s="51"/>
      <c r="T93" s="51"/>
      <c r="U93" s="51"/>
      <c r="V93" s="51"/>
    </row>
    <row r="94" spans="2:22" ht="21.6" customHeight="1">
      <c r="B94" s="44">
        <v>3220</v>
      </c>
      <c r="C94" s="44">
        <f t="shared" si="8"/>
        <v>7100.1</v>
      </c>
      <c r="D94" s="44">
        <v>7048.44</v>
      </c>
      <c r="E94" s="44"/>
      <c r="F94" s="44" t="str">
        <f t="shared" si="9"/>
        <v/>
      </c>
      <c r="G94" s="44">
        <v>40</v>
      </c>
      <c r="H94" s="173"/>
      <c r="I94" s="223"/>
      <c r="J94" s="224"/>
      <c r="K94" s="51"/>
      <c r="L94" s="42">
        <f t="shared" si="10"/>
        <v>40</v>
      </c>
      <c r="M94" s="42">
        <f t="shared" si="11"/>
        <v>-40</v>
      </c>
      <c r="N94" s="51"/>
      <c r="O94" s="51"/>
      <c r="P94" s="51"/>
      <c r="Q94" s="51"/>
      <c r="R94" s="51"/>
      <c r="S94" s="51"/>
      <c r="T94" s="51"/>
      <c r="U94" s="51"/>
      <c r="V94" s="51"/>
    </row>
    <row r="95" spans="2:22" ht="21.6" customHeight="1">
      <c r="B95" s="44">
        <v>36904</v>
      </c>
      <c r="C95" s="44">
        <f t="shared" si="8"/>
        <v>81373.320000000007</v>
      </c>
      <c r="D95" s="44">
        <v>8466.2000000000007</v>
      </c>
      <c r="E95" s="44"/>
      <c r="F95" s="44" t="str">
        <f t="shared" si="9"/>
        <v/>
      </c>
      <c r="G95" s="44">
        <v>40</v>
      </c>
      <c r="H95" s="173"/>
      <c r="I95" s="223"/>
      <c r="J95" s="224"/>
      <c r="K95" s="51"/>
      <c r="L95" s="42">
        <f t="shared" si="10"/>
        <v>40</v>
      </c>
      <c r="M95" s="42">
        <f t="shared" si="11"/>
        <v>-40</v>
      </c>
      <c r="N95" s="51"/>
      <c r="O95" s="51"/>
      <c r="P95" s="51"/>
      <c r="Q95" s="51"/>
      <c r="R95" s="51"/>
      <c r="S95" s="51"/>
      <c r="T95" s="51"/>
      <c r="U95" s="51"/>
      <c r="V95" s="51"/>
    </row>
    <row r="96" spans="2:22" ht="21.6" customHeight="1">
      <c r="B96" s="44">
        <v>4470</v>
      </c>
      <c r="C96" s="44">
        <f t="shared" si="8"/>
        <v>9856.35</v>
      </c>
      <c r="D96" s="44">
        <v>9811.3799999999992</v>
      </c>
      <c r="E96" s="44"/>
      <c r="F96" s="44" t="str">
        <f t="shared" si="9"/>
        <v/>
      </c>
      <c r="G96" s="44">
        <v>40</v>
      </c>
      <c r="H96" s="174"/>
      <c r="I96" s="225"/>
      <c r="J96" s="226"/>
      <c r="K96" s="51"/>
      <c r="L96" s="42">
        <f t="shared" si="10"/>
        <v>40</v>
      </c>
      <c r="M96" s="42">
        <f t="shared" si="11"/>
        <v>-40</v>
      </c>
      <c r="N96" s="51"/>
      <c r="O96" s="51"/>
      <c r="P96" s="51"/>
      <c r="Q96" s="51"/>
      <c r="R96" s="51"/>
      <c r="S96" s="51"/>
      <c r="T96" s="51"/>
      <c r="U96" s="51"/>
      <c r="V96" s="51"/>
    </row>
    <row r="97" spans="2:12" ht="15" customHeight="1">
      <c r="B97" s="111"/>
      <c r="C97" s="112"/>
      <c r="D97" s="111"/>
      <c r="E97" s="111"/>
      <c r="F97" s="40"/>
      <c r="H97" s="51"/>
      <c r="I97" s="51"/>
      <c r="K97" s="57"/>
      <c r="L97" s="57"/>
    </row>
    <row r="98" spans="2:12" s="51" customFormat="1" ht="14.45" customHeight="1">
      <c r="B98" s="186" t="s">
        <v>191</v>
      </c>
      <c r="C98" s="186"/>
      <c r="D98" s="186"/>
      <c r="E98" s="186"/>
      <c r="F98" s="186"/>
      <c r="H98" s="38"/>
      <c r="I98" s="38"/>
      <c r="J98" s="38"/>
    </row>
    <row r="99" spans="2:12" s="51" customFormat="1" ht="14.45" customHeight="1">
      <c r="B99" s="208" t="s">
        <v>192</v>
      </c>
      <c r="C99" s="208"/>
      <c r="D99" s="208"/>
      <c r="E99" s="208"/>
      <c r="F99" s="208"/>
      <c r="H99" s="38"/>
      <c r="I99" s="38"/>
      <c r="J99" s="38"/>
    </row>
    <row r="100" spans="2:12" s="51" customFormat="1" ht="14.45" customHeight="1">
      <c r="B100" s="99" t="s">
        <v>193</v>
      </c>
      <c r="C100" s="99" t="s">
        <v>194</v>
      </c>
      <c r="D100" s="99" t="s">
        <v>195</v>
      </c>
      <c r="E100" s="99" t="s">
        <v>196</v>
      </c>
      <c r="F100" s="99" t="s">
        <v>197</v>
      </c>
      <c r="H100" s="38"/>
      <c r="I100" s="38"/>
      <c r="J100" s="38"/>
    </row>
    <row r="101" spans="2:12" s="51" customFormat="1" ht="14.45" customHeight="1">
      <c r="B101" s="42">
        <v>-3.31</v>
      </c>
      <c r="C101" s="42">
        <v>418.09</v>
      </c>
      <c r="D101" s="42">
        <v>418.09</v>
      </c>
      <c r="E101" s="42">
        <v>414.78</v>
      </c>
      <c r="F101" s="42">
        <v>414.78</v>
      </c>
      <c r="H101" s="38"/>
      <c r="I101" s="38"/>
      <c r="J101" s="38"/>
    </row>
    <row r="102" spans="2:12" s="51" customFormat="1" ht="14.45" customHeight="1">
      <c r="B102" s="42">
        <v>1415.37</v>
      </c>
      <c r="C102" s="42">
        <v>31.66</v>
      </c>
      <c r="D102" s="42">
        <v>31.66</v>
      </c>
      <c r="E102" s="42">
        <v>1447.03</v>
      </c>
      <c r="F102" s="42">
        <v>1447.03</v>
      </c>
      <c r="H102" s="38"/>
      <c r="I102" s="38"/>
      <c r="J102" s="38"/>
    </row>
    <row r="103" spans="2:12" s="51" customFormat="1" ht="14.45" customHeight="1">
      <c r="B103" s="42">
        <v>2835.7</v>
      </c>
      <c r="C103" s="42">
        <v>-23.98</v>
      </c>
      <c r="D103" s="42">
        <v>-23.98</v>
      </c>
      <c r="E103" s="42">
        <v>2811.71</v>
      </c>
      <c r="F103" s="42">
        <v>2811.71</v>
      </c>
      <c r="H103" s="38"/>
      <c r="I103" s="38"/>
      <c r="J103" s="38"/>
    </row>
    <row r="104" spans="2:12" s="51" customFormat="1" ht="14.45" customHeight="1">
      <c r="B104" s="42">
        <v>4257.68</v>
      </c>
      <c r="C104" s="42">
        <v>-23.77</v>
      </c>
      <c r="D104" s="42">
        <v>-23.77</v>
      </c>
      <c r="E104" s="42">
        <v>4233.91</v>
      </c>
      <c r="F104" s="42">
        <v>4233.91</v>
      </c>
      <c r="H104" s="38"/>
      <c r="I104" s="38"/>
      <c r="J104" s="38"/>
    </row>
    <row r="105" spans="2:12" s="51" customFormat="1" ht="14.45" customHeight="1">
      <c r="B105" s="42">
        <v>5679.66</v>
      </c>
      <c r="C105" s="42">
        <v>-34.51</v>
      </c>
      <c r="D105" s="42">
        <v>-34.51</v>
      </c>
      <c r="E105" s="42">
        <v>5645.14</v>
      </c>
      <c r="F105" s="42">
        <v>5645.15</v>
      </c>
      <c r="H105" s="38"/>
      <c r="I105" s="38"/>
      <c r="J105" s="38"/>
    </row>
    <row r="106" spans="2:12" s="51" customFormat="1" ht="14.45" customHeight="1">
      <c r="B106" s="42">
        <v>7093.37</v>
      </c>
      <c r="C106" s="42">
        <v>-44.93</v>
      </c>
      <c r="D106" s="42">
        <v>-44.93</v>
      </c>
      <c r="E106" s="42">
        <v>7048.44</v>
      </c>
      <c r="F106" s="42">
        <v>7048.44</v>
      </c>
      <c r="H106" s="38"/>
      <c r="I106" s="38"/>
      <c r="J106" s="38"/>
    </row>
    <row r="107" spans="2:12" s="51" customFormat="1" ht="14.45" customHeight="1">
      <c r="B107" s="42">
        <v>8517.01</v>
      </c>
      <c r="C107" s="42">
        <v>-50.81</v>
      </c>
      <c r="D107" s="42">
        <v>-50.81</v>
      </c>
      <c r="E107" s="42">
        <v>8466.2000000000007</v>
      </c>
      <c r="F107" s="42">
        <v>8466.2000000000007</v>
      </c>
      <c r="H107" s="38"/>
      <c r="I107" s="38"/>
      <c r="J107" s="38"/>
    </row>
    <row r="108" spans="2:12" s="51" customFormat="1" ht="14.45" customHeight="1">
      <c r="B108" s="42">
        <v>9902.61</v>
      </c>
      <c r="C108" s="42">
        <v>-91.23</v>
      </c>
      <c r="D108" s="42">
        <v>-91.23</v>
      </c>
      <c r="E108" s="42">
        <v>9811.3799999999992</v>
      </c>
      <c r="F108" s="42">
        <v>9811.3799999999992</v>
      </c>
      <c r="H108" s="38"/>
      <c r="I108" s="38"/>
      <c r="J108" s="38"/>
    </row>
    <row r="109" spans="2:12" s="51" customFormat="1" ht="4.9000000000000004" customHeight="1">
      <c r="B109" s="209"/>
      <c r="C109" s="210"/>
      <c r="D109" s="210"/>
      <c r="E109" s="210"/>
      <c r="F109" s="211"/>
      <c r="H109" s="38"/>
      <c r="I109" s="38"/>
      <c r="J109" s="38"/>
    </row>
    <row r="110" spans="2:12" s="51" customFormat="1" ht="14.45" customHeight="1">
      <c r="B110" s="208" t="s">
        <v>198</v>
      </c>
      <c r="C110" s="208"/>
      <c r="D110" s="208"/>
      <c r="E110" s="208"/>
      <c r="F110" s="208"/>
      <c r="H110" s="38"/>
      <c r="I110" s="38"/>
      <c r="J110" s="38"/>
    </row>
    <row r="111" spans="2:12" s="51" customFormat="1" ht="14.45" customHeight="1">
      <c r="B111" s="99" t="s">
        <v>193</v>
      </c>
      <c r="C111" s="99" t="s">
        <v>194</v>
      </c>
      <c r="D111" s="99" t="s">
        <v>195</v>
      </c>
      <c r="E111" s="99" t="s">
        <v>196</v>
      </c>
      <c r="F111" s="99" t="s">
        <v>197</v>
      </c>
      <c r="H111" s="38"/>
      <c r="I111" s="38"/>
      <c r="J111" s="38"/>
    </row>
    <row r="112" spans="2:12" s="51" customFormat="1" ht="14.45" customHeight="1">
      <c r="B112" s="42">
        <v>0</v>
      </c>
      <c r="C112" s="42">
        <v>0</v>
      </c>
      <c r="D112" s="42">
        <v>0</v>
      </c>
      <c r="E112" s="42">
        <v>0</v>
      </c>
      <c r="F112" s="42">
        <v>0</v>
      </c>
      <c r="H112" s="38"/>
      <c r="I112" s="38"/>
      <c r="J112" s="38"/>
    </row>
    <row r="113" spans="2:12" s="51" customFormat="1" ht="14.45" customHeight="1">
      <c r="B113" s="42">
        <v>0</v>
      </c>
      <c r="C113" s="42">
        <v>0</v>
      </c>
      <c r="D113" s="42">
        <v>0</v>
      </c>
      <c r="E113" s="42">
        <v>0</v>
      </c>
      <c r="F113" s="42">
        <v>0</v>
      </c>
      <c r="H113" s="38"/>
      <c r="I113" s="38"/>
      <c r="J113" s="38"/>
    </row>
    <row r="114" spans="2:12" s="51" customFormat="1" ht="14.45" customHeight="1">
      <c r="B114" s="42">
        <v>0</v>
      </c>
      <c r="C114" s="42">
        <v>0</v>
      </c>
      <c r="D114" s="42">
        <v>0</v>
      </c>
      <c r="E114" s="42">
        <v>0</v>
      </c>
      <c r="F114" s="42">
        <v>0</v>
      </c>
      <c r="H114" s="38"/>
      <c r="I114" s="38"/>
      <c r="J114" s="38"/>
    </row>
    <row r="115" spans="2:12" s="51" customFormat="1" ht="14.45" customHeight="1">
      <c r="B115" s="42">
        <v>0</v>
      </c>
      <c r="C115" s="42">
        <v>0</v>
      </c>
      <c r="D115" s="42">
        <v>0</v>
      </c>
      <c r="E115" s="42">
        <v>0</v>
      </c>
      <c r="F115" s="42">
        <v>0</v>
      </c>
      <c r="H115" s="38"/>
      <c r="I115" s="38"/>
      <c r="J115" s="38"/>
    </row>
    <row r="116" spans="2:12" s="51" customFormat="1" ht="14.45" customHeight="1">
      <c r="B116" s="42">
        <v>0</v>
      </c>
      <c r="C116" s="42">
        <v>0</v>
      </c>
      <c r="D116" s="42">
        <v>0</v>
      </c>
      <c r="E116" s="42">
        <v>0</v>
      </c>
      <c r="F116" s="42">
        <v>0</v>
      </c>
      <c r="H116" s="38"/>
      <c r="I116" s="38"/>
      <c r="J116" s="38"/>
    </row>
    <row r="117" spans="2:12" s="51" customFormat="1" ht="14.45" customHeight="1">
      <c r="B117" s="42">
        <v>0</v>
      </c>
      <c r="C117" s="42">
        <v>0</v>
      </c>
      <c r="D117" s="42">
        <v>0</v>
      </c>
      <c r="E117" s="42">
        <v>0</v>
      </c>
      <c r="F117" s="42">
        <v>0</v>
      </c>
      <c r="H117" s="38"/>
      <c r="I117" s="38"/>
      <c r="J117" s="38"/>
    </row>
    <row r="118" spans="2:12" s="51" customFormat="1" ht="14.45" customHeight="1">
      <c r="B118" s="42">
        <v>0</v>
      </c>
      <c r="C118" s="42">
        <v>0</v>
      </c>
      <c r="D118" s="42">
        <v>0</v>
      </c>
      <c r="E118" s="42">
        <v>0</v>
      </c>
      <c r="F118" s="42">
        <v>0</v>
      </c>
      <c r="H118" s="38"/>
      <c r="I118" s="38"/>
      <c r="J118" s="38"/>
    </row>
    <row r="119" spans="2:12" s="51" customFormat="1" ht="14.45" customHeight="1">
      <c r="B119" s="42">
        <v>0</v>
      </c>
      <c r="C119" s="42">
        <v>0</v>
      </c>
      <c r="D119" s="42">
        <v>0</v>
      </c>
      <c r="E119" s="42">
        <v>0</v>
      </c>
      <c r="F119" s="42">
        <v>0</v>
      </c>
      <c r="H119" s="38"/>
      <c r="I119" s="38"/>
      <c r="J119" s="38"/>
    </row>
    <row r="120" spans="2:12" ht="15" customHeight="1">
      <c r="B120" s="111"/>
      <c r="C120" s="111"/>
      <c r="D120" s="111"/>
      <c r="E120" s="111"/>
      <c r="F120" s="40"/>
      <c r="H120" s="51"/>
      <c r="I120" s="51"/>
      <c r="K120" s="57"/>
      <c r="L120" s="57"/>
    </row>
    <row r="121" spans="2:12" ht="15" customHeight="1">
      <c r="B121" s="111"/>
      <c r="C121" s="111"/>
      <c r="D121" s="111"/>
      <c r="E121" s="111"/>
      <c r="F121" s="40"/>
      <c r="H121" s="51"/>
      <c r="I121" s="51"/>
      <c r="K121" s="57"/>
      <c r="L121" s="57"/>
    </row>
    <row r="122" spans="2:12" ht="15" customHeight="1">
      <c r="B122" s="111"/>
      <c r="C122" s="111"/>
      <c r="D122" s="111"/>
      <c r="E122" s="111"/>
      <c r="F122" s="40"/>
      <c r="G122" s="51"/>
      <c r="H122" s="51"/>
      <c r="K122" s="57"/>
      <c r="L122" s="57"/>
    </row>
    <row r="123" spans="2:12" ht="15" customHeight="1"/>
    <row r="124" spans="2:12" ht="15" customHeight="1"/>
    <row r="125" spans="2:12" ht="15" customHeight="1"/>
  </sheetData>
  <mergeCells count="35">
    <mergeCell ref="G42:G43"/>
    <mergeCell ref="H42:H43"/>
    <mergeCell ref="G3:G4"/>
    <mergeCell ref="H3:H4"/>
    <mergeCell ref="B6:J6"/>
    <mergeCell ref="B7:C7"/>
    <mergeCell ref="F7:J8"/>
    <mergeCell ref="B8:C8"/>
    <mergeCell ref="H10:H17"/>
    <mergeCell ref="I14:J17"/>
    <mergeCell ref="B19:F19"/>
    <mergeCell ref="B20:F20"/>
    <mergeCell ref="B30:F30"/>
    <mergeCell ref="H82:H83"/>
    <mergeCell ref="B45:J45"/>
    <mergeCell ref="B46:C46"/>
    <mergeCell ref="F46:J47"/>
    <mergeCell ref="B47:C47"/>
    <mergeCell ref="H49:H56"/>
    <mergeCell ref="I53:J56"/>
    <mergeCell ref="B58:F58"/>
    <mergeCell ref="B59:F59"/>
    <mergeCell ref="B69:F69"/>
    <mergeCell ref="B70:F70"/>
    <mergeCell ref="G82:G83"/>
    <mergeCell ref="B98:F98"/>
    <mergeCell ref="B99:F99"/>
    <mergeCell ref="B109:F109"/>
    <mergeCell ref="B110:F110"/>
    <mergeCell ref="B85:J85"/>
    <mergeCell ref="B86:C86"/>
    <mergeCell ref="F86:J87"/>
    <mergeCell ref="B87:C87"/>
    <mergeCell ref="H89:H96"/>
    <mergeCell ref="I93:J96"/>
  </mergeCells>
  <conditionalFormatting sqref="P9">
    <cfRule type="expression" dxfId="19" priority="5">
      <formula>" "</formula>
    </cfRule>
    <cfRule type="containsText" dxfId="18" priority="6" operator="containsText" text="&quot;&quot;">
      <formula>NOT(ISERROR(SEARCH("""""",P9)))</formula>
    </cfRule>
  </conditionalFormatting>
  <conditionalFormatting sqref="P48">
    <cfRule type="expression" dxfId="17" priority="3">
      <formula>" "</formula>
    </cfRule>
    <cfRule type="containsText" dxfId="16" priority="4" operator="containsText" text="&quot;&quot;">
      <formula>NOT(ISERROR(SEARCH("""""",P48)))</formula>
    </cfRule>
  </conditionalFormatting>
  <conditionalFormatting sqref="P88">
    <cfRule type="expression" dxfId="15" priority="1">
      <formula>" "</formula>
    </cfRule>
    <cfRule type="containsText" dxfId="14" priority="2" operator="containsText" text="&quot;&quot;">
      <formula>NOT(ISERROR(SEARCH("""""",P88)))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192C-F7B9-4864-BD9C-3264C858331A}">
  <dimension ref="A2:V126"/>
  <sheetViews>
    <sheetView topLeftCell="A105" zoomScale="70" zoomScaleNormal="70" workbookViewId="0">
      <selection activeCell="B5" sqref="B5"/>
    </sheetView>
  </sheetViews>
  <sheetFormatPr defaultColWidth="11.42578125" defaultRowHeight="15"/>
  <cols>
    <col min="1" max="1" width="3.28515625" customWidth="1"/>
    <col min="2" max="3" width="18.28515625" customWidth="1"/>
    <col min="4" max="4" width="18.7109375" customWidth="1"/>
    <col min="5" max="5" width="19.5703125" customWidth="1"/>
    <col min="6" max="6" width="21.28515625" customWidth="1"/>
    <col min="7" max="7" width="24.42578125" customWidth="1"/>
    <col min="8" max="8" width="27" bestFit="1" customWidth="1"/>
    <col min="9" max="9" width="30.7109375" bestFit="1" customWidth="1"/>
    <col min="10" max="10" width="15.5703125" customWidth="1"/>
    <col min="11" max="11" width="10.5703125" bestFit="1" customWidth="1"/>
  </cols>
  <sheetData>
    <row r="2" spans="1:13" ht="31.15" customHeight="1">
      <c r="B2" s="49" t="s">
        <v>143</v>
      </c>
      <c r="C2" s="49" t="s">
        <v>144</v>
      </c>
      <c r="D2" s="49" t="s">
        <v>12</v>
      </c>
      <c r="E2" s="49" t="s">
        <v>145</v>
      </c>
      <c r="F2" s="49" t="s">
        <v>146</v>
      </c>
      <c r="G2" s="49" t="s">
        <v>185</v>
      </c>
      <c r="H2" s="49" t="s">
        <v>162</v>
      </c>
      <c r="I2" s="56"/>
    </row>
    <row r="3" spans="1:13" ht="17.45" customHeight="1">
      <c r="B3" s="44" t="s">
        <v>147</v>
      </c>
      <c r="C3" s="42" t="s">
        <v>218</v>
      </c>
      <c r="D3" s="42" t="s">
        <v>219</v>
      </c>
      <c r="E3" s="42" t="s">
        <v>220</v>
      </c>
      <c r="F3" s="50" t="s">
        <v>49</v>
      </c>
      <c r="G3" s="183">
        <f>F4</f>
        <v>45860</v>
      </c>
      <c r="H3" s="183">
        <f>G3+180</f>
        <v>46040</v>
      </c>
      <c r="I3" s="39"/>
    </row>
    <row r="4" spans="1:13" ht="28.15" customHeight="1">
      <c r="B4" s="58" t="s">
        <v>165</v>
      </c>
      <c r="C4" s="42" t="s">
        <v>91</v>
      </c>
      <c r="D4" s="42" t="s">
        <v>221</v>
      </c>
      <c r="E4" s="42" t="s">
        <v>115</v>
      </c>
      <c r="F4" s="50">
        <v>45860</v>
      </c>
      <c r="G4" s="183"/>
      <c r="H4" s="183"/>
      <c r="I4" s="39"/>
    </row>
    <row r="6" spans="1:13" s="51" customFormat="1" ht="25.9" customHeight="1">
      <c r="B6" s="184" t="s">
        <v>222</v>
      </c>
      <c r="C6" s="184"/>
      <c r="D6" s="184"/>
      <c r="E6" s="184"/>
      <c r="F6" s="184"/>
      <c r="G6" s="184"/>
      <c r="H6" s="184"/>
      <c r="I6" s="184"/>
      <c r="J6" s="184"/>
    </row>
    <row r="7" spans="1:13" s="51" customFormat="1" ht="14.45" customHeight="1">
      <c r="B7" s="172" t="s">
        <v>169</v>
      </c>
      <c r="C7" s="172"/>
      <c r="D7" s="109">
        <v>45904</v>
      </c>
      <c r="E7" s="110"/>
      <c r="F7" s="230"/>
      <c r="G7" s="230"/>
      <c r="H7" s="230"/>
      <c r="I7" s="230"/>
      <c r="J7" s="230"/>
    </row>
    <row r="8" spans="1:13" s="51" customFormat="1" ht="14.45" customHeight="1">
      <c r="B8" s="172" t="s">
        <v>170</v>
      </c>
      <c r="C8" s="172"/>
      <c r="D8" s="72" t="s">
        <v>171</v>
      </c>
      <c r="E8" s="72"/>
      <c r="F8" s="230"/>
      <c r="G8" s="230"/>
      <c r="H8" s="230"/>
      <c r="I8" s="230"/>
      <c r="J8" s="230"/>
    </row>
    <row r="9" spans="1:13" s="51" customFormat="1" ht="46.9" customHeight="1">
      <c r="B9" s="49" t="s">
        <v>208</v>
      </c>
      <c r="C9" s="49" t="s">
        <v>209</v>
      </c>
      <c r="D9" s="49" t="s">
        <v>210</v>
      </c>
      <c r="E9" s="49" t="s">
        <v>211</v>
      </c>
      <c r="F9" s="43" t="s">
        <v>212</v>
      </c>
      <c r="G9" s="43" t="s">
        <v>213</v>
      </c>
      <c r="H9" s="43" t="s">
        <v>154</v>
      </c>
      <c r="I9" s="58" t="s">
        <v>166</v>
      </c>
      <c r="J9" s="42">
        <v>0</v>
      </c>
      <c r="L9" s="76" t="s">
        <v>155</v>
      </c>
      <c r="M9" s="42" t="s">
        <v>156</v>
      </c>
    </row>
    <row r="10" spans="1:13" s="51" customFormat="1" ht="21.6" customHeight="1">
      <c r="A10" s="51">
        <v>1</v>
      </c>
      <c r="B10" s="44">
        <v>0</v>
      </c>
      <c r="C10" s="44">
        <f>B10*2.205</f>
        <v>0</v>
      </c>
      <c r="D10" s="44">
        <v>-1.1299999999999999</v>
      </c>
      <c r="E10" s="44"/>
      <c r="F10" s="44" t="str">
        <f>IF(E10="","",D10-E10)</f>
        <v/>
      </c>
      <c r="G10" s="44">
        <v>10</v>
      </c>
      <c r="H10" s="182" t="str">
        <f>IF(AND(,F10&gt;G10,F11&gt;G11,F12&gt;G12,F13&gt;G13,F14&gt;G14,F15&gt;G15,F16&gt;G16,F17&gt;G17),"EQUIPO NO CUMPLE ESPECIFICACIÓN","EQUIPO CUMPLE ESPECIFICACIÓN")</f>
        <v>EQUIPO CUMPLE ESPECIFICACIÓN</v>
      </c>
      <c r="I10" s="44" t="s">
        <v>157</v>
      </c>
      <c r="J10" s="42">
        <v>0</v>
      </c>
      <c r="L10" s="42">
        <f>G10</f>
        <v>10</v>
      </c>
      <c r="M10" s="42">
        <f>-G10</f>
        <v>-10</v>
      </c>
    </row>
    <row r="11" spans="1:13" s="51" customFormat="1" ht="21.6" customHeight="1">
      <c r="A11" s="51">
        <v>2</v>
      </c>
      <c r="B11" s="44">
        <v>60</v>
      </c>
      <c r="C11" s="44">
        <f t="shared" ref="C11:C17" si="0">B11*2.205</f>
        <v>132.30000000000001</v>
      </c>
      <c r="D11" s="44">
        <v>132.44</v>
      </c>
      <c r="E11" s="44"/>
      <c r="F11" s="44" t="str">
        <f t="shared" ref="F11:F17" si="1">IF(E11="","",D11-E11)</f>
        <v/>
      </c>
      <c r="G11" s="44">
        <v>10</v>
      </c>
      <c r="H11" s="182"/>
      <c r="I11" s="44" t="s">
        <v>158</v>
      </c>
      <c r="J11" s="42">
        <v>0</v>
      </c>
      <c r="L11" s="42">
        <f t="shared" ref="L11:L17" si="2">G11</f>
        <v>10</v>
      </c>
      <c r="M11" s="42">
        <f t="shared" ref="M11:M17" si="3">-G11</f>
        <v>-10</v>
      </c>
    </row>
    <row r="12" spans="1:13" s="51" customFormat="1" ht="21.6" customHeight="1">
      <c r="A12" s="51">
        <v>3</v>
      </c>
      <c r="B12" s="44">
        <v>120</v>
      </c>
      <c r="C12" s="44">
        <f t="shared" si="0"/>
        <v>264.60000000000002</v>
      </c>
      <c r="D12" s="44">
        <v>264.22000000000003</v>
      </c>
      <c r="E12" s="44"/>
      <c r="F12" s="44" t="str">
        <f t="shared" si="1"/>
        <v/>
      </c>
      <c r="G12" s="44">
        <v>10</v>
      </c>
      <c r="H12" s="182"/>
      <c r="I12" s="44" t="s">
        <v>159</v>
      </c>
      <c r="J12" s="42" t="s">
        <v>214</v>
      </c>
      <c r="L12" s="42">
        <f t="shared" si="2"/>
        <v>10</v>
      </c>
      <c r="M12" s="42">
        <f t="shared" si="3"/>
        <v>-10</v>
      </c>
    </row>
    <row r="13" spans="1:13" s="51" customFormat="1" ht="21.6" customHeight="1">
      <c r="A13" s="51">
        <v>4</v>
      </c>
      <c r="B13" s="44">
        <v>180</v>
      </c>
      <c r="C13" s="44">
        <f t="shared" si="0"/>
        <v>396.90000000000003</v>
      </c>
      <c r="D13" s="44">
        <v>394.83</v>
      </c>
      <c r="E13" s="44"/>
      <c r="F13" s="44" t="str">
        <f t="shared" si="1"/>
        <v/>
      </c>
      <c r="G13" s="44">
        <v>10</v>
      </c>
      <c r="H13" s="182"/>
      <c r="I13" s="44" t="s">
        <v>146</v>
      </c>
      <c r="J13" s="50">
        <v>45839</v>
      </c>
      <c r="L13" s="42">
        <f t="shared" si="2"/>
        <v>10</v>
      </c>
      <c r="M13" s="42">
        <f t="shared" si="3"/>
        <v>-10</v>
      </c>
    </row>
    <row r="14" spans="1:13" s="51" customFormat="1" ht="21.6" customHeight="1">
      <c r="A14" s="51">
        <v>5</v>
      </c>
      <c r="B14" s="44">
        <v>240</v>
      </c>
      <c r="C14" s="44">
        <f t="shared" si="0"/>
        <v>529.20000000000005</v>
      </c>
      <c r="D14" s="44">
        <v>527.49</v>
      </c>
      <c r="E14" s="44"/>
      <c r="F14" s="44" t="str">
        <f t="shared" si="1"/>
        <v/>
      </c>
      <c r="G14" s="44">
        <v>10</v>
      </c>
      <c r="H14" s="182"/>
      <c r="I14" s="175" t="s">
        <v>161</v>
      </c>
      <c r="J14" s="175"/>
      <c r="L14" s="42">
        <f t="shared" si="2"/>
        <v>10</v>
      </c>
      <c r="M14" s="42">
        <f t="shared" si="3"/>
        <v>-10</v>
      </c>
    </row>
    <row r="15" spans="1:13" s="51" customFormat="1" ht="21.6" customHeight="1">
      <c r="A15" s="51">
        <v>6</v>
      </c>
      <c r="B15" s="44">
        <v>300</v>
      </c>
      <c r="C15" s="44">
        <f t="shared" si="0"/>
        <v>661.5</v>
      </c>
      <c r="D15" s="44">
        <v>658.57</v>
      </c>
      <c r="E15" s="44"/>
      <c r="F15" s="44" t="str">
        <f t="shared" si="1"/>
        <v/>
      </c>
      <c r="G15" s="44">
        <v>10</v>
      </c>
      <c r="H15" s="182"/>
      <c r="I15" s="175"/>
      <c r="J15" s="175"/>
      <c r="L15" s="42">
        <f t="shared" si="2"/>
        <v>10</v>
      </c>
      <c r="M15" s="42">
        <f t="shared" si="3"/>
        <v>-10</v>
      </c>
    </row>
    <row r="16" spans="1:13" s="51" customFormat="1" ht="21.6" customHeight="1">
      <c r="A16" s="51">
        <v>7</v>
      </c>
      <c r="B16" s="44">
        <v>360</v>
      </c>
      <c r="C16" s="44">
        <f t="shared" si="0"/>
        <v>793.80000000000007</v>
      </c>
      <c r="D16" s="96">
        <v>787</v>
      </c>
      <c r="E16" s="44"/>
      <c r="F16" s="44" t="str">
        <f t="shared" si="1"/>
        <v/>
      </c>
      <c r="G16" s="44">
        <v>10</v>
      </c>
      <c r="H16" s="182"/>
      <c r="I16" s="175"/>
      <c r="J16" s="175"/>
      <c r="L16" s="42">
        <f t="shared" si="2"/>
        <v>10</v>
      </c>
      <c r="M16" s="42">
        <f t="shared" si="3"/>
        <v>-10</v>
      </c>
    </row>
    <row r="17" spans="1:13" s="51" customFormat="1" ht="21.6" customHeight="1">
      <c r="A17" s="51">
        <v>8</v>
      </c>
      <c r="B17" s="44">
        <v>427</v>
      </c>
      <c r="C17" s="74">
        <f t="shared" si="0"/>
        <v>941.53500000000008</v>
      </c>
      <c r="D17" s="44">
        <v>933.87</v>
      </c>
      <c r="E17" s="44"/>
      <c r="F17" s="44" t="str">
        <f t="shared" si="1"/>
        <v/>
      </c>
      <c r="G17" s="44">
        <v>10</v>
      </c>
      <c r="H17" s="182"/>
      <c r="I17" s="175"/>
      <c r="J17" s="175"/>
      <c r="L17" s="42">
        <f t="shared" si="2"/>
        <v>10</v>
      </c>
      <c r="M17" s="42">
        <f t="shared" si="3"/>
        <v>-10</v>
      </c>
    </row>
    <row r="18" spans="1:13" s="51" customFormat="1" ht="11.45" customHeight="1">
      <c r="C18" s="111"/>
      <c r="H18" s="38"/>
      <c r="I18" s="38"/>
      <c r="J18" s="38"/>
    </row>
    <row r="19" spans="1:13" s="51" customFormat="1" ht="14.45" customHeight="1">
      <c r="B19" s="186" t="s">
        <v>191</v>
      </c>
      <c r="C19" s="186"/>
      <c r="D19" s="186"/>
      <c r="E19" s="186"/>
      <c r="F19" s="186"/>
      <c r="H19" s="38"/>
      <c r="I19" s="38"/>
      <c r="J19" s="38"/>
    </row>
    <row r="20" spans="1:13" s="51" customFormat="1" ht="14.45" customHeight="1">
      <c r="B20" s="208" t="s">
        <v>192</v>
      </c>
      <c r="C20" s="208"/>
      <c r="D20" s="208"/>
      <c r="E20" s="208"/>
      <c r="F20" s="208"/>
      <c r="H20" s="38"/>
      <c r="I20" s="38"/>
      <c r="J20" s="38"/>
    </row>
    <row r="21" spans="1:13" s="51" customFormat="1" ht="14.45" customHeight="1">
      <c r="B21" s="99" t="s">
        <v>193</v>
      </c>
      <c r="C21" s="99" t="s">
        <v>194</v>
      </c>
      <c r="D21" s="99" t="s">
        <v>195</v>
      </c>
      <c r="E21" s="99" t="s">
        <v>196</v>
      </c>
      <c r="F21" s="99" t="s">
        <v>197</v>
      </c>
      <c r="H21" s="38"/>
      <c r="I21" s="38"/>
      <c r="J21" s="38"/>
    </row>
    <row r="22" spans="1:13" s="51" customFormat="1" ht="14.45" customHeight="1">
      <c r="B22" s="103">
        <v>0</v>
      </c>
      <c r="C22" s="103">
        <v>-1.1299999999999999</v>
      </c>
      <c r="D22" s="103">
        <v>-1.1299999999999999</v>
      </c>
      <c r="E22" s="103">
        <v>-1.1299999999999999</v>
      </c>
      <c r="F22" s="103">
        <v>-1.1299999999999999</v>
      </c>
      <c r="H22" s="38"/>
      <c r="I22" s="38"/>
      <c r="J22" s="38"/>
    </row>
    <row r="23" spans="1:13" s="51" customFormat="1" ht="14.45" customHeight="1">
      <c r="B23" s="103">
        <v>133.94999999999999</v>
      </c>
      <c r="C23" s="103">
        <v>-1.51</v>
      </c>
      <c r="D23" s="103">
        <v>-1.51</v>
      </c>
      <c r="E23" s="103">
        <v>132.44</v>
      </c>
      <c r="F23" s="103">
        <v>132.44</v>
      </c>
      <c r="H23" s="38"/>
      <c r="I23" s="38"/>
      <c r="J23" s="38"/>
    </row>
    <row r="24" spans="1:13" s="51" customFormat="1" ht="14.45" customHeight="1">
      <c r="B24" s="103">
        <v>268.06</v>
      </c>
      <c r="C24" s="103">
        <v>-3.84</v>
      </c>
      <c r="D24" s="103">
        <v>-3.84</v>
      </c>
      <c r="E24" s="103">
        <v>264.22000000000003</v>
      </c>
      <c r="F24" s="103">
        <v>264.22000000000003</v>
      </c>
      <c r="H24" s="38"/>
      <c r="I24" s="38"/>
      <c r="J24" s="38"/>
    </row>
    <row r="25" spans="1:13" s="51" customFormat="1" ht="14.45" customHeight="1">
      <c r="B25" s="103">
        <v>400.11</v>
      </c>
      <c r="C25" s="103">
        <v>-5.28</v>
      </c>
      <c r="D25" s="103">
        <v>-5.28</v>
      </c>
      <c r="E25" s="103">
        <v>394.83</v>
      </c>
      <c r="F25" s="103">
        <v>394.83</v>
      </c>
      <c r="H25" s="38"/>
      <c r="I25" s="38"/>
      <c r="J25" s="38"/>
    </row>
    <row r="26" spans="1:13" s="51" customFormat="1" ht="14.45" customHeight="1">
      <c r="B26" s="103">
        <v>533.58000000000004</v>
      </c>
      <c r="C26" s="103">
        <v>-6.1</v>
      </c>
      <c r="D26" s="103">
        <v>-6.1</v>
      </c>
      <c r="E26" s="103">
        <v>527.49</v>
      </c>
      <c r="F26" s="103">
        <v>527.49</v>
      </c>
      <c r="H26" s="38"/>
      <c r="I26" s="38"/>
      <c r="J26" s="38"/>
    </row>
    <row r="27" spans="1:13" s="51" customFormat="1" ht="14.45" customHeight="1">
      <c r="B27" s="42">
        <v>666.74</v>
      </c>
      <c r="C27" s="42">
        <v>-8.17</v>
      </c>
      <c r="D27" s="42">
        <v>-8.17</v>
      </c>
      <c r="E27" s="103">
        <v>658.57</v>
      </c>
      <c r="F27" s="103">
        <v>658.57</v>
      </c>
      <c r="H27" s="38"/>
      <c r="I27" s="38"/>
      <c r="J27" s="38"/>
    </row>
    <row r="28" spans="1:13" s="51" customFormat="1" ht="14.45" customHeight="1">
      <c r="B28" s="42">
        <v>799.27</v>
      </c>
      <c r="C28" s="42">
        <v>-12.27</v>
      </c>
      <c r="D28" s="42">
        <v>-12.27</v>
      </c>
      <c r="E28" s="103">
        <v>787</v>
      </c>
      <c r="F28" s="103">
        <v>787</v>
      </c>
      <c r="H28" s="38"/>
      <c r="I28" s="38"/>
      <c r="J28" s="38"/>
    </row>
    <row r="29" spans="1:13" s="51" customFormat="1" ht="14.45" customHeight="1">
      <c r="B29" s="42">
        <v>947.14</v>
      </c>
      <c r="C29" s="42">
        <v>-13.28</v>
      </c>
      <c r="D29" s="42">
        <v>-13.28</v>
      </c>
      <c r="E29" s="103">
        <v>933.87</v>
      </c>
      <c r="F29" s="103">
        <v>933.87</v>
      </c>
      <c r="H29" s="38"/>
      <c r="I29" s="38"/>
      <c r="J29" s="38"/>
    </row>
    <row r="30" spans="1:13" s="51" customFormat="1" ht="4.9000000000000004" customHeight="1">
      <c r="B30" s="209"/>
      <c r="C30" s="210"/>
      <c r="D30" s="210"/>
      <c r="E30" s="210"/>
      <c r="F30" s="211"/>
      <c r="H30" s="38"/>
      <c r="I30" s="38"/>
      <c r="J30" s="38"/>
    </row>
    <row r="31" spans="1:13" s="51" customFormat="1" ht="14.45" customHeight="1">
      <c r="B31" s="208" t="s">
        <v>198</v>
      </c>
      <c r="C31" s="208"/>
      <c r="D31" s="208"/>
      <c r="E31" s="208"/>
      <c r="F31" s="208"/>
      <c r="H31" s="38"/>
      <c r="I31" s="38"/>
      <c r="J31" s="38"/>
    </row>
    <row r="32" spans="1:13" s="51" customFormat="1" ht="14.45" customHeight="1">
      <c r="B32" s="99" t="s">
        <v>193</v>
      </c>
      <c r="C32" s="99" t="s">
        <v>194</v>
      </c>
      <c r="D32" s="99" t="s">
        <v>195</v>
      </c>
      <c r="E32" s="99" t="s">
        <v>196</v>
      </c>
      <c r="F32" s="99" t="s">
        <v>197</v>
      </c>
      <c r="H32" s="38"/>
      <c r="I32" s="38"/>
      <c r="J32" s="38"/>
    </row>
    <row r="33" spans="2:22" s="51" customFormat="1" ht="14.45" customHeight="1">
      <c r="B33" s="42">
        <v>0</v>
      </c>
      <c r="C33" s="42">
        <v>0</v>
      </c>
      <c r="D33" s="42">
        <v>0</v>
      </c>
      <c r="E33" s="42">
        <v>0</v>
      </c>
      <c r="F33" s="42">
        <v>0</v>
      </c>
      <c r="H33" s="38"/>
      <c r="I33" s="38"/>
      <c r="J33" s="38"/>
    </row>
    <row r="34" spans="2:22" s="51" customFormat="1" ht="14.45" customHeight="1">
      <c r="B34" s="42">
        <v>0</v>
      </c>
      <c r="C34" s="42">
        <v>0</v>
      </c>
      <c r="D34" s="42">
        <v>0</v>
      </c>
      <c r="E34" s="42">
        <v>0</v>
      </c>
      <c r="F34" s="42">
        <v>0</v>
      </c>
      <c r="H34" s="38"/>
      <c r="I34" s="38"/>
      <c r="J34" s="38"/>
    </row>
    <row r="35" spans="2:22" s="51" customFormat="1" ht="14.45" customHeight="1">
      <c r="B35" s="42">
        <v>0</v>
      </c>
      <c r="C35" s="42">
        <v>0</v>
      </c>
      <c r="D35" s="42">
        <v>0</v>
      </c>
      <c r="E35" s="42">
        <v>0</v>
      </c>
      <c r="F35" s="42">
        <v>0</v>
      </c>
      <c r="H35" s="38"/>
      <c r="I35" s="38"/>
      <c r="J35" s="38"/>
    </row>
    <row r="36" spans="2:22" s="51" customFormat="1" ht="14.45" customHeight="1">
      <c r="B36" s="42">
        <v>0</v>
      </c>
      <c r="C36" s="42">
        <v>0</v>
      </c>
      <c r="D36" s="42">
        <v>0</v>
      </c>
      <c r="E36" s="42">
        <v>0</v>
      </c>
      <c r="F36" s="42">
        <v>0</v>
      </c>
      <c r="H36" s="38"/>
      <c r="I36" s="38"/>
      <c r="J36" s="38"/>
    </row>
    <row r="37" spans="2:22" s="51" customFormat="1" ht="14.45" customHeight="1">
      <c r="B37" s="42">
        <v>0</v>
      </c>
      <c r="C37" s="42">
        <v>0</v>
      </c>
      <c r="D37" s="42">
        <v>0</v>
      </c>
      <c r="E37" s="42">
        <v>0</v>
      </c>
      <c r="F37" s="42">
        <v>0</v>
      </c>
      <c r="H37" s="38"/>
      <c r="I37" s="38"/>
      <c r="J37" s="38"/>
    </row>
    <row r="38" spans="2:22" s="51" customFormat="1" ht="14.45" customHeight="1">
      <c r="B38" s="42">
        <v>0</v>
      </c>
      <c r="C38" s="42">
        <v>0</v>
      </c>
      <c r="D38" s="42">
        <v>0</v>
      </c>
      <c r="E38" s="42">
        <v>0</v>
      </c>
      <c r="F38" s="42">
        <v>0</v>
      </c>
      <c r="H38" s="38"/>
      <c r="I38" s="38"/>
      <c r="J38" s="38"/>
    </row>
    <row r="39" spans="2:22" s="51" customFormat="1" ht="14.45" customHeight="1">
      <c r="B39" s="42">
        <v>0</v>
      </c>
      <c r="C39" s="42">
        <v>0</v>
      </c>
      <c r="D39" s="42">
        <v>0</v>
      </c>
      <c r="E39" s="42">
        <v>0</v>
      </c>
      <c r="F39" s="42">
        <v>0</v>
      </c>
      <c r="H39" s="38"/>
      <c r="I39" s="38"/>
      <c r="J39" s="38"/>
    </row>
    <row r="40" spans="2:22" s="51" customFormat="1" ht="14.45" customHeight="1">
      <c r="B40" s="42">
        <v>0</v>
      </c>
      <c r="C40" s="42">
        <v>0</v>
      </c>
      <c r="D40" s="42">
        <v>0</v>
      </c>
      <c r="E40" s="42">
        <v>0</v>
      </c>
      <c r="F40" s="42">
        <v>0</v>
      </c>
      <c r="H40" s="38"/>
      <c r="I40" s="38"/>
      <c r="J40" s="38"/>
    </row>
    <row r="42" spans="2:22" ht="31.15" customHeight="1">
      <c r="B42" s="49" t="s">
        <v>143</v>
      </c>
      <c r="C42" s="49" t="s">
        <v>144</v>
      </c>
      <c r="D42" s="49" t="s">
        <v>12</v>
      </c>
      <c r="E42" s="49" t="s">
        <v>145</v>
      </c>
      <c r="F42" s="49" t="s">
        <v>146</v>
      </c>
      <c r="G42" s="49" t="s">
        <v>185</v>
      </c>
      <c r="H42" s="49" t="s">
        <v>162</v>
      </c>
      <c r="I42" s="56"/>
    </row>
    <row r="43" spans="2:22" ht="17.45" customHeight="1">
      <c r="B43" s="44" t="s">
        <v>147</v>
      </c>
      <c r="C43" s="42" t="s">
        <v>203</v>
      </c>
      <c r="D43" s="42" t="s">
        <v>204</v>
      </c>
      <c r="E43" s="42" t="s">
        <v>205</v>
      </c>
      <c r="F43" s="50" t="s">
        <v>49</v>
      </c>
      <c r="G43" s="183">
        <f>F44</f>
        <v>45824</v>
      </c>
      <c r="H43" s="183">
        <f>G43+180</f>
        <v>46004</v>
      </c>
      <c r="I43" s="39"/>
    </row>
    <row r="44" spans="2:22" ht="28.15" customHeight="1">
      <c r="B44" s="58" t="s">
        <v>165</v>
      </c>
      <c r="C44" s="42" t="s">
        <v>122</v>
      </c>
      <c r="D44" s="42" t="s">
        <v>123</v>
      </c>
      <c r="E44" s="42">
        <v>810551</v>
      </c>
      <c r="F44" s="50">
        <v>45824</v>
      </c>
      <c r="G44" s="183"/>
      <c r="H44" s="183"/>
      <c r="I44" s="39"/>
    </row>
    <row r="45" spans="2:22" ht="15" customHeight="1"/>
    <row r="46" spans="2:22" ht="25.9" customHeight="1">
      <c r="B46" s="184" t="s">
        <v>223</v>
      </c>
      <c r="C46" s="184"/>
      <c r="D46" s="184"/>
      <c r="E46" s="184"/>
      <c r="F46" s="184"/>
      <c r="G46" s="184"/>
      <c r="H46" s="184"/>
      <c r="I46" s="184"/>
      <c r="J46" s="184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2:22" s="51" customFormat="1" ht="14.45" customHeight="1">
      <c r="B47" s="172" t="s">
        <v>169</v>
      </c>
      <c r="C47" s="172"/>
      <c r="D47" s="109">
        <v>45904</v>
      </c>
      <c r="E47" s="110"/>
      <c r="F47" s="230"/>
      <c r="G47" s="230"/>
      <c r="H47" s="230"/>
      <c r="I47" s="230"/>
      <c r="J47" s="230"/>
    </row>
    <row r="48" spans="2:22" s="51" customFormat="1" ht="14.45" customHeight="1">
      <c r="B48" s="172" t="s">
        <v>170</v>
      </c>
      <c r="C48" s="172"/>
      <c r="D48" s="72" t="s">
        <v>171</v>
      </c>
      <c r="E48" s="72"/>
      <c r="F48" s="230"/>
      <c r="G48" s="230"/>
      <c r="H48" s="230"/>
      <c r="I48" s="230"/>
      <c r="J48" s="230"/>
    </row>
    <row r="49" spans="2:22" ht="47.45" customHeight="1">
      <c r="B49" s="49" t="s">
        <v>208</v>
      </c>
      <c r="C49" s="49" t="s">
        <v>209</v>
      </c>
      <c r="D49" s="49" t="s">
        <v>210</v>
      </c>
      <c r="E49" s="49" t="s">
        <v>211</v>
      </c>
      <c r="F49" s="43" t="s">
        <v>212</v>
      </c>
      <c r="G49" s="43" t="s">
        <v>213</v>
      </c>
      <c r="H49" s="43" t="s">
        <v>154</v>
      </c>
      <c r="I49" s="58" t="s">
        <v>166</v>
      </c>
      <c r="J49" s="42">
        <v>0</v>
      </c>
      <c r="K49" s="51"/>
      <c r="L49" s="42" t="s">
        <v>155</v>
      </c>
      <c r="M49" s="42" t="s">
        <v>156</v>
      </c>
      <c r="N49" s="51"/>
      <c r="O49" s="51"/>
      <c r="P49" s="51"/>
      <c r="Q49" s="51"/>
      <c r="R49" s="51"/>
      <c r="S49" s="51"/>
      <c r="T49" s="51"/>
      <c r="U49" s="51"/>
      <c r="V49" s="51"/>
    </row>
    <row r="50" spans="2:22" ht="21.6" customHeight="1">
      <c r="B50" s="44">
        <v>0</v>
      </c>
      <c r="C50" s="44">
        <f>B50*2.205</f>
        <v>0</v>
      </c>
      <c r="D50" s="44">
        <v>1.21</v>
      </c>
      <c r="E50" s="44"/>
      <c r="F50" s="44" t="str">
        <f>IF(E50="","",D50-E50)</f>
        <v/>
      </c>
      <c r="G50" s="44">
        <v>20</v>
      </c>
      <c r="H50" s="182" t="str">
        <f>IF(AND(,F50&gt;G50,F51&gt;G51,F52&gt;G52,F53&gt;G53,F54&gt;G54,F55&gt;G55,F56&gt;G56,F57&gt;G57),"EQUIPO NO CUMPLE ESPECIFICACIÓN","EQUIPO CUMPLE ESPECIFICACIÓN")</f>
        <v>EQUIPO CUMPLE ESPECIFICACIÓN</v>
      </c>
      <c r="I50" s="44" t="s">
        <v>157</v>
      </c>
      <c r="J50" s="42">
        <v>0</v>
      </c>
      <c r="K50" s="51"/>
      <c r="L50" s="42">
        <f>G50</f>
        <v>20</v>
      </c>
      <c r="M50" s="42">
        <f>-G50</f>
        <v>-20</v>
      </c>
      <c r="N50" s="51"/>
      <c r="O50" s="51"/>
      <c r="P50" s="51"/>
      <c r="Q50" s="51"/>
      <c r="R50" s="51"/>
      <c r="S50" s="51"/>
      <c r="T50" s="51"/>
      <c r="U50" s="51"/>
      <c r="V50" s="51"/>
    </row>
    <row r="51" spans="2:22" ht="21.6" customHeight="1">
      <c r="B51" s="44">
        <v>142</v>
      </c>
      <c r="C51" s="44">
        <f t="shared" ref="C51:C57" si="4">B51*2.205</f>
        <v>313.11</v>
      </c>
      <c r="D51" s="44">
        <v>307.49</v>
      </c>
      <c r="E51" s="44"/>
      <c r="F51" s="44" t="str">
        <f t="shared" ref="F51:F57" si="5">IF(E51="","",D51-E51)</f>
        <v/>
      </c>
      <c r="G51" s="44">
        <v>20</v>
      </c>
      <c r="H51" s="182"/>
      <c r="I51" s="44" t="s">
        <v>158</v>
      </c>
      <c r="J51" s="42">
        <v>0</v>
      </c>
      <c r="K51" s="51"/>
      <c r="L51" s="42">
        <f t="shared" ref="L51:L57" si="6">G51</f>
        <v>20</v>
      </c>
      <c r="M51" s="42">
        <f t="shared" ref="M51:M57" si="7">-G51</f>
        <v>-20</v>
      </c>
      <c r="N51" s="51"/>
      <c r="O51" s="51"/>
      <c r="P51" s="51"/>
      <c r="Q51" s="51"/>
      <c r="R51" s="51"/>
      <c r="S51" s="51"/>
      <c r="T51" s="51"/>
      <c r="U51" s="51"/>
      <c r="V51" s="51"/>
    </row>
    <row r="52" spans="2:22" ht="21.6" customHeight="1">
      <c r="B52" s="44">
        <v>284</v>
      </c>
      <c r="C52" s="44">
        <f t="shared" si="4"/>
        <v>626.22</v>
      </c>
      <c r="D52" s="44">
        <v>618.35</v>
      </c>
      <c r="E52" s="44"/>
      <c r="F52" s="44" t="str">
        <f t="shared" si="5"/>
        <v/>
      </c>
      <c r="G52" s="44">
        <v>20</v>
      </c>
      <c r="H52" s="182"/>
      <c r="I52" s="44" t="s">
        <v>159</v>
      </c>
      <c r="J52" s="42" t="s">
        <v>214</v>
      </c>
      <c r="K52" s="51"/>
      <c r="L52" s="42">
        <f t="shared" si="6"/>
        <v>20</v>
      </c>
      <c r="M52" s="42">
        <f t="shared" si="7"/>
        <v>-20</v>
      </c>
      <c r="N52" s="51"/>
      <c r="O52" s="51"/>
      <c r="P52" s="51"/>
      <c r="Q52" s="51"/>
      <c r="R52" s="51"/>
      <c r="S52" s="51"/>
      <c r="T52" s="51"/>
      <c r="U52" s="51"/>
      <c r="V52" s="51"/>
    </row>
    <row r="53" spans="2:22" ht="21.6" customHeight="1">
      <c r="B53" s="44">
        <v>426</v>
      </c>
      <c r="C53" s="44">
        <f t="shared" si="4"/>
        <v>939.33</v>
      </c>
      <c r="D53" s="44">
        <v>931.76</v>
      </c>
      <c r="E53" s="44"/>
      <c r="F53" s="44" t="str">
        <f t="shared" si="5"/>
        <v/>
      </c>
      <c r="G53" s="44">
        <v>20</v>
      </c>
      <c r="H53" s="182"/>
      <c r="I53" s="44" t="s">
        <v>146</v>
      </c>
      <c r="J53" s="50">
        <v>45839</v>
      </c>
      <c r="K53" s="51"/>
      <c r="L53" s="42">
        <f t="shared" si="6"/>
        <v>20</v>
      </c>
      <c r="M53" s="42">
        <f t="shared" si="7"/>
        <v>-20</v>
      </c>
      <c r="N53" s="51"/>
      <c r="O53" s="51"/>
      <c r="P53" s="51"/>
      <c r="Q53" s="51"/>
      <c r="R53" s="51"/>
      <c r="S53" s="51"/>
      <c r="T53" s="51"/>
      <c r="U53" s="51"/>
      <c r="V53" s="51"/>
    </row>
    <row r="54" spans="2:22" ht="21.6" customHeight="1">
      <c r="B54" s="44">
        <v>568</v>
      </c>
      <c r="C54" s="44">
        <f t="shared" si="4"/>
        <v>1252.44</v>
      </c>
      <c r="D54" s="44">
        <v>1239.7</v>
      </c>
      <c r="E54" s="44"/>
      <c r="F54" s="44" t="str">
        <f t="shared" si="5"/>
        <v/>
      </c>
      <c r="G54" s="44">
        <v>20</v>
      </c>
      <c r="H54" s="182"/>
      <c r="I54" s="175" t="s">
        <v>161</v>
      </c>
      <c r="J54" s="175"/>
      <c r="K54" s="51"/>
      <c r="L54" s="42">
        <f t="shared" si="6"/>
        <v>20</v>
      </c>
      <c r="M54" s="42">
        <f t="shared" si="7"/>
        <v>-20</v>
      </c>
      <c r="N54" s="51"/>
      <c r="O54" s="51"/>
      <c r="P54" s="51"/>
      <c r="Q54" s="51"/>
      <c r="R54" s="51"/>
      <c r="S54" s="51"/>
      <c r="T54" s="51"/>
      <c r="U54" s="51"/>
      <c r="V54" s="51"/>
    </row>
    <row r="55" spans="2:22" ht="21.6" customHeight="1">
      <c r="B55" s="44">
        <v>710</v>
      </c>
      <c r="C55" s="44">
        <f t="shared" si="4"/>
        <v>1565.55</v>
      </c>
      <c r="D55" s="44">
        <v>1547.63</v>
      </c>
      <c r="E55" s="44"/>
      <c r="F55" s="44" t="str">
        <f t="shared" si="5"/>
        <v/>
      </c>
      <c r="G55" s="44">
        <v>20</v>
      </c>
      <c r="H55" s="182"/>
      <c r="I55" s="175"/>
      <c r="J55" s="175"/>
      <c r="K55" s="51"/>
      <c r="L55" s="42">
        <f t="shared" si="6"/>
        <v>20</v>
      </c>
      <c r="M55" s="42">
        <f t="shared" si="7"/>
        <v>-20</v>
      </c>
      <c r="N55" s="51"/>
      <c r="O55" s="51"/>
      <c r="P55" s="51"/>
      <c r="Q55" s="51"/>
      <c r="R55" s="51"/>
      <c r="S55" s="51"/>
      <c r="T55" s="51"/>
      <c r="U55" s="51"/>
      <c r="V55" s="51"/>
    </row>
    <row r="56" spans="2:22" ht="21.6" customHeight="1">
      <c r="B56" s="44">
        <v>852</v>
      </c>
      <c r="C56" s="44">
        <f t="shared" si="4"/>
        <v>1878.66</v>
      </c>
      <c r="D56" s="96">
        <v>1858.6</v>
      </c>
      <c r="E56" s="44"/>
      <c r="F56" s="44" t="str">
        <f t="shared" si="5"/>
        <v/>
      </c>
      <c r="G56" s="44">
        <v>20</v>
      </c>
      <c r="H56" s="182"/>
      <c r="I56" s="175"/>
      <c r="J56" s="175"/>
      <c r="K56" s="51"/>
      <c r="L56" s="42">
        <f t="shared" si="6"/>
        <v>20</v>
      </c>
      <c r="M56" s="42">
        <f t="shared" si="7"/>
        <v>-20</v>
      </c>
      <c r="N56" s="51"/>
      <c r="O56" s="51"/>
      <c r="P56" s="51"/>
      <c r="Q56" s="51"/>
      <c r="R56" s="51"/>
      <c r="S56" s="51"/>
      <c r="T56" s="51"/>
      <c r="U56" s="51"/>
      <c r="V56" s="51"/>
    </row>
    <row r="57" spans="2:22" ht="21.6" customHeight="1">
      <c r="B57" s="44">
        <v>998</v>
      </c>
      <c r="C57" s="44">
        <f t="shared" si="4"/>
        <v>2200.59</v>
      </c>
      <c r="D57" s="44">
        <v>2175.5300000000002</v>
      </c>
      <c r="E57" s="44"/>
      <c r="F57" s="44" t="str">
        <f t="shared" si="5"/>
        <v/>
      </c>
      <c r="G57" s="44">
        <v>20</v>
      </c>
      <c r="H57" s="182"/>
      <c r="I57" s="175"/>
      <c r="J57" s="175"/>
      <c r="K57" s="51"/>
      <c r="L57" s="42">
        <f t="shared" si="6"/>
        <v>20</v>
      </c>
      <c r="M57" s="42">
        <f t="shared" si="7"/>
        <v>-20</v>
      </c>
      <c r="N57" s="51"/>
      <c r="O57" s="51"/>
      <c r="P57" s="51"/>
      <c r="Q57" s="51"/>
      <c r="R57" s="51"/>
      <c r="S57" s="51"/>
      <c r="T57" s="51"/>
      <c r="U57" s="51"/>
      <c r="V57" s="51"/>
    </row>
    <row r="58" spans="2:22" ht="15.6" customHeight="1">
      <c r="B58" s="51"/>
      <c r="C58" s="51"/>
      <c r="D58" s="51"/>
      <c r="E58" s="51"/>
      <c r="F58" s="51"/>
      <c r="G58" s="51"/>
      <c r="H58" s="38"/>
      <c r="I58" s="38"/>
      <c r="J58" s="38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2:22" s="51" customFormat="1" ht="14.45" customHeight="1">
      <c r="B59" s="186" t="s">
        <v>191</v>
      </c>
      <c r="C59" s="186"/>
      <c r="D59" s="186"/>
      <c r="E59" s="186"/>
      <c r="F59" s="186"/>
      <c r="H59" s="38"/>
      <c r="I59" s="38"/>
      <c r="J59" s="38"/>
    </row>
    <row r="60" spans="2:22" s="51" customFormat="1" ht="14.45" customHeight="1">
      <c r="B60" s="208" t="s">
        <v>192</v>
      </c>
      <c r="C60" s="208"/>
      <c r="D60" s="208"/>
      <c r="E60" s="208"/>
      <c r="F60" s="208"/>
      <c r="H60" s="38"/>
      <c r="I60" s="38"/>
      <c r="J60" s="38"/>
    </row>
    <row r="61" spans="2:22" s="51" customFormat="1" ht="14.45" customHeight="1">
      <c r="B61" s="99" t="s">
        <v>193</v>
      </c>
      <c r="C61" s="99" t="s">
        <v>194</v>
      </c>
      <c r="D61" s="99" t="s">
        <v>195</v>
      </c>
      <c r="E61" s="99" t="s">
        <v>196</v>
      </c>
      <c r="F61" s="99" t="s">
        <v>197</v>
      </c>
      <c r="H61" s="38"/>
      <c r="I61" s="38"/>
      <c r="J61" s="38"/>
    </row>
    <row r="62" spans="2:22" s="51" customFormat="1" ht="14.45" customHeight="1">
      <c r="B62" s="103">
        <v>-4.04</v>
      </c>
      <c r="C62" s="103">
        <v>5.26</v>
      </c>
      <c r="D62" s="103">
        <v>5.26</v>
      </c>
      <c r="E62" s="103">
        <v>1.21</v>
      </c>
      <c r="F62" s="103">
        <v>1.21</v>
      </c>
      <c r="H62" s="38"/>
      <c r="I62" s="38"/>
      <c r="J62" s="38"/>
    </row>
    <row r="63" spans="2:22" s="51" customFormat="1" ht="14.45" customHeight="1">
      <c r="B63" s="103">
        <v>306.07</v>
      </c>
      <c r="C63" s="103">
        <v>1.42</v>
      </c>
      <c r="D63" s="103">
        <v>1.42</v>
      </c>
      <c r="E63" s="103">
        <v>307.49</v>
      </c>
      <c r="F63" s="103">
        <v>307.49</v>
      </c>
      <c r="H63" s="38"/>
      <c r="I63" s="38"/>
      <c r="J63" s="38"/>
    </row>
    <row r="64" spans="2:22" s="51" customFormat="1" ht="14.45" customHeight="1">
      <c r="B64" s="103">
        <v>614.35</v>
      </c>
      <c r="C64" s="103">
        <v>3.99</v>
      </c>
      <c r="D64" s="103">
        <v>3.99</v>
      </c>
      <c r="E64" s="103">
        <v>618.35</v>
      </c>
      <c r="F64" s="103">
        <v>618.35</v>
      </c>
      <c r="H64" s="38"/>
      <c r="I64" s="38"/>
      <c r="J64" s="38"/>
    </row>
    <row r="65" spans="2:10" s="51" customFormat="1" ht="14.45" customHeight="1">
      <c r="B65" s="103">
        <v>927.03</v>
      </c>
      <c r="C65" s="103">
        <v>4.7300000000000004</v>
      </c>
      <c r="D65" s="103">
        <v>4.7300000000000004</v>
      </c>
      <c r="E65" s="103">
        <v>931.76</v>
      </c>
      <c r="F65" s="103">
        <v>931.76</v>
      </c>
      <c r="H65" s="38"/>
      <c r="I65" s="38"/>
      <c r="J65" s="38"/>
    </row>
    <row r="66" spans="2:10" s="51" customFormat="1" ht="14.45" customHeight="1">
      <c r="B66" s="103">
        <v>1237.51</v>
      </c>
      <c r="C66" s="103">
        <v>2.19</v>
      </c>
      <c r="D66" s="103">
        <v>2.19</v>
      </c>
      <c r="E66" s="103">
        <v>1239.7</v>
      </c>
      <c r="F66" s="103">
        <v>1239.7</v>
      </c>
      <c r="H66" s="38"/>
      <c r="I66" s="38"/>
      <c r="J66" s="38"/>
    </row>
    <row r="67" spans="2:10" s="51" customFormat="1" ht="14.45" customHeight="1">
      <c r="B67" s="42">
        <v>1549.09</v>
      </c>
      <c r="C67" s="103">
        <v>-1.47</v>
      </c>
      <c r="D67" s="103">
        <v>-1.47</v>
      </c>
      <c r="E67" s="42">
        <v>1547.63</v>
      </c>
      <c r="F67" s="42">
        <v>1547.63</v>
      </c>
      <c r="H67" s="38"/>
      <c r="I67" s="38"/>
      <c r="J67" s="38"/>
    </row>
    <row r="68" spans="2:10" s="51" customFormat="1" ht="14.45" customHeight="1">
      <c r="B68" s="42">
        <v>1862.52</v>
      </c>
      <c r="C68" s="103">
        <v>-3.92</v>
      </c>
      <c r="D68" s="103">
        <v>-3.92</v>
      </c>
      <c r="E68" s="42">
        <v>1858.6</v>
      </c>
      <c r="F68" s="42">
        <v>1858.6</v>
      </c>
      <c r="H68" s="38"/>
      <c r="I68" s="38"/>
      <c r="J68" s="38"/>
    </row>
    <row r="69" spans="2:10" s="51" customFormat="1" ht="14.45" customHeight="1">
      <c r="B69" s="42">
        <v>2181.81</v>
      </c>
      <c r="C69" s="103">
        <v>-6.29</v>
      </c>
      <c r="D69" s="103">
        <v>-6.29</v>
      </c>
      <c r="E69" s="42">
        <v>2175.5300000000002</v>
      </c>
      <c r="F69" s="42">
        <v>2175.5300000000002</v>
      </c>
      <c r="H69" s="38"/>
      <c r="I69" s="38"/>
      <c r="J69" s="38"/>
    </row>
    <row r="70" spans="2:10" s="51" customFormat="1" ht="4.9000000000000004" customHeight="1">
      <c r="B70" s="209"/>
      <c r="C70" s="210"/>
      <c r="D70" s="210"/>
      <c r="E70" s="210"/>
      <c r="F70" s="211"/>
      <c r="H70" s="38"/>
      <c r="I70" s="38"/>
      <c r="J70" s="38"/>
    </row>
    <row r="71" spans="2:10" s="51" customFormat="1" ht="14.45" customHeight="1">
      <c r="B71" s="208" t="s">
        <v>198</v>
      </c>
      <c r="C71" s="208"/>
      <c r="D71" s="208"/>
      <c r="E71" s="208"/>
      <c r="F71" s="208"/>
      <c r="H71" s="38"/>
      <c r="I71" s="38"/>
      <c r="J71" s="38"/>
    </row>
    <row r="72" spans="2:10" s="51" customFormat="1" ht="14.45" customHeight="1">
      <c r="B72" s="99" t="s">
        <v>193</v>
      </c>
      <c r="C72" s="99" t="s">
        <v>194</v>
      </c>
      <c r="D72" s="99" t="s">
        <v>195</v>
      </c>
      <c r="E72" s="99" t="s">
        <v>196</v>
      </c>
      <c r="F72" s="99" t="s">
        <v>197</v>
      </c>
      <c r="H72" s="38"/>
      <c r="I72" s="38"/>
      <c r="J72" s="38"/>
    </row>
    <row r="73" spans="2:10" s="51" customFormat="1" ht="14.45" customHeight="1">
      <c r="B73" s="42">
        <v>0</v>
      </c>
      <c r="C73" s="42">
        <v>0</v>
      </c>
      <c r="D73" s="42">
        <v>0</v>
      </c>
      <c r="E73" s="42">
        <v>0</v>
      </c>
      <c r="F73" s="42">
        <v>0</v>
      </c>
      <c r="H73" s="38"/>
      <c r="I73" s="38"/>
      <c r="J73" s="38"/>
    </row>
    <row r="74" spans="2:10" s="51" customFormat="1" ht="14.45" customHeight="1">
      <c r="B74" s="42">
        <v>0</v>
      </c>
      <c r="C74" s="42">
        <v>0</v>
      </c>
      <c r="D74" s="42">
        <v>0</v>
      </c>
      <c r="E74" s="42">
        <v>0</v>
      </c>
      <c r="F74" s="42">
        <v>0</v>
      </c>
      <c r="H74" s="38"/>
      <c r="I74" s="38"/>
      <c r="J74" s="38"/>
    </row>
    <row r="75" spans="2:10" s="51" customFormat="1" ht="14.45" customHeight="1">
      <c r="B75" s="42">
        <v>0</v>
      </c>
      <c r="C75" s="42">
        <v>0</v>
      </c>
      <c r="D75" s="42">
        <v>0</v>
      </c>
      <c r="E75" s="42">
        <v>0</v>
      </c>
      <c r="F75" s="42">
        <v>0</v>
      </c>
      <c r="H75" s="38"/>
      <c r="I75" s="38"/>
      <c r="J75" s="38"/>
    </row>
    <row r="76" spans="2:10" s="51" customFormat="1" ht="14.45" customHeight="1">
      <c r="B76" s="42">
        <v>0</v>
      </c>
      <c r="C76" s="42">
        <v>0</v>
      </c>
      <c r="D76" s="42">
        <v>0</v>
      </c>
      <c r="E76" s="42">
        <v>0</v>
      </c>
      <c r="F76" s="42">
        <v>0</v>
      </c>
      <c r="H76" s="38"/>
      <c r="I76" s="38"/>
      <c r="J76" s="38"/>
    </row>
    <row r="77" spans="2:10" s="51" customFormat="1" ht="14.45" customHeight="1">
      <c r="B77" s="42">
        <v>0</v>
      </c>
      <c r="C77" s="42">
        <v>0</v>
      </c>
      <c r="D77" s="42">
        <v>0</v>
      </c>
      <c r="E77" s="42">
        <v>0</v>
      </c>
      <c r="F77" s="42">
        <v>0</v>
      </c>
      <c r="H77" s="38"/>
      <c r="I77" s="38"/>
      <c r="J77" s="38"/>
    </row>
    <row r="78" spans="2:10" s="51" customFormat="1" ht="14.45" customHeight="1">
      <c r="B78" s="42">
        <v>0</v>
      </c>
      <c r="C78" s="42">
        <v>0</v>
      </c>
      <c r="D78" s="42">
        <v>0</v>
      </c>
      <c r="E78" s="42">
        <v>0</v>
      </c>
      <c r="F78" s="42">
        <v>0</v>
      </c>
      <c r="H78" s="38"/>
      <c r="I78" s="38"/>
      <c r="J78" s="38"/>
    </row>
    <row r="79" spans="2:10" s="51" customFormat="1" ht="14.45" customHeight="1">
      <c r="B79" s="42">
        <v>0</v>
      </c>
      <c r="C79" s="42">
        <v>0</v>
      </c>
      <c r="D79" s="42">
        <v>0</v>
      </c>
      <c r="E79" s="42">
        <v>0</v>
      </c>
      <c r="F79" s="42">
        <v>0</v>
      </c>
      <c r="H79" s="38"/>
      <c r="I79" s="38"/>
      <c r="J79" s="38"/>
    </row>
    <row r="80" spans="2:10" s="51" customFormat="1" ht="14.45" customHeight="1">
      <c r="B80" s="42">
        <v>0</v>
      </c>
      <c r="C80" s="42">
        <v>0</v>
      </c>
      <c r="D80" s="42">
        <v>0</v>
      </c>
      <c r="E80" s="42">
        <v>0</v>
      </c>
      <c r="F80" s="42">
        <v>0</v>
      </c>
      <c r="H80" s="38"/>
      <c r="I80" s="38"/>
      <c r="J80" s="38"/>
    </row>
    <row r="81" spans="2:22" ht="15" customHeight="1">
      <c r="B81" s="111"/>
      <c r="C81" s="111"/>
      <c r="D81" s="111"/>
      <c r="E81" s="111"/>
      <c r="F81" s="40"/>
      <c r="H81" s="38"/>
      <c r="I81" s="51"/>
      <c r="K81" s="57"/>
      <c r="L81" s="57"/>
    </row>
    <row r="82" spans="2:22" ht="31.15" customHeight="1">
      <c r="B82" s="49" t="s">
        <v>143</v>
      </c>
      <c r="C82" s="49" t="s">
        <v>144</v>
      </c>
      <c r="D82" s="49" t="s">
        <v>12</v>
      </c>
      <c r="E82" s="49" t="s">
        <v>145</v>
      </c>
      <c r="F82" s="49" t="s">
        <v>146</v>
      </c>
      <c r="G82" s="49" t="s">
        <v>185</v>
      </c>
      <c r="H82" s="49" t="s">
        <v>162</v>
      </c>
      <c r="I82" s="56"/>
    </row>
    <row r="83" spans="2:22" ht="17.45" customHeight="1">
      <c r="B83" s="44" t="s">
        <v>147</v>
      </c>
      <c r="C83" s="42" t="s">
        <v>203</v>
      </c>
      <c r="D83" s="42" t="s">
        <v>204</v>
      </c>
      <c r="E83" s="42" t="s">
        <v>205</v>
      </c>
      <c r="F83" s="50" t="s">
        <v>49</v>
      </c>
      <c r="G83" s="183">
        <f>F84</f>
        <v>45824</v>
      </c>
      <c r="H83" s="183">
        <f>G83+180</f>
        <v>46004</v>
      </c>
      <c r="I83" s="39"/>
    </row>
    <row r="84" spans="2:22" ht="28.15" customHeight="1">
      <c r="B84" s="58" t="s">
        <v>165</v>
      </c>
      <c r="C84" s="42" t="s">
        <v>224</v>
      </c>
      <c r="D84" s="42" t="s">
        <v>126</v>
      </c>
      <c r="E84" s="42" t="s">
        <v>127</v>
      </c>
      <c r="F84" s="50">
        <v>45824</v>
      </c>
      <c r="G84" s="183"/>
      <c r="H84" s="183"/>
      <c r="I84" s="39"/>
    </row>
    <row r="85" spans="2:22" ht="15" customHeight="1"/>
    <row r="86" spans="2:22" ht="25.9" customHeight="1">
      <c r="B86" s="184" t="s">
        <v>225</v>
      </c>
      <c r="C86" s="184"/>
      <c r="D86" s="184"/>
      <c r="E86" s="184"/>
      <c r="F86" s="184"/>
      <c r="G86" s="184"/>
      <c r="H86" s="184"/>
      <c r="I86" s="184"/>
      <c r="J86" s="184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2:22" s="51" customFormat="1" ht="14.45" customHeight="1">
      <c r="B87" s="172" t="s">
        <v>169</v>
      </c>
      <c r="C87" s="172"/>
      <c r="D87" s="109">
        <v>45904</v>
      </c>
      <c r="E87" s="110"/>
      <c r="F87" s="230"/>
      <c r="G87" s="230"/>
      <c r="H87" s="230"/>
      <c r="I87" s="230"/>
      <c r="J87" s="230"/>
    </row>
    <row r="88" spans="2:22" s="51" customFormat="1" ht="14.45" customHeight="1">
      <c r="B88" s="172" t="s">
        <v>170</v>
      </c>
      <c r="C88" s="172"/>
      <c r="D88" s="72" t="s">
        <v>226</v>
      </c>
      <c r="E88" s="72"/>
      <c r="F88" s="230"/>
      <c r="G88" s="230"/>
      <c r="H88" s="230"/>
      <c r="I88" s="230"/>
      <c r="J88" s="230"/>
    </row>
    <row r="89" spans="2:22" ht="47.45" customHeight="1">
      <c r="B89" s="49" t="s">
        <v>208</v>
      </c>
      <c r="C89" s="49" t="s">
        <v>209</v>
      </c>
      <c r="D89" s="49" t="s">
        <v>210</v>
      </c>
      <c r="E89" s="49" t="s">
        <v>211</v>
      </c>
      <c r="F89" s="43" t="s">
        <v>212</v>
      </c>
      <c r="G89" s="43" t="s">
        <v>213</v>
      </c>
      <c r="H89" s="43" t="s">
        <v>154</v>
      </c>
      <c r="I89" s="58" t="s">
        <v>166</v>
      </c>
      <c r="J89" s="42">
        <v>0</v>
      </c>
      <c r="K89" s="51"/>
      <c r="L89" s="42" t="s">
        <v>155</v>
      </c>
      <c r="M89" s="42" t="s">
        <v>156</v>
      </c>
      <c r="N89" s="51"/>
      <c r="O89" s="51"/>
      <c r="P89" s="51"/>
      <c r="Q89" s="51"/>
      <c r="R89" s="51"/>
      <c r="S89" s="51"/>
      <c r="T89" s="51"/>
      <c r="U89" s="51"/>
      <c r="V89" s="51"/>
    </row>
    <row r="90" spans="2:22" ht="21.6" customHeight="1">
      <c r="B90" s="44">
        <v>0</v>
      </c>
      <c r="C90" s="44">
        <f>B90*2.205</f>
        <v>0</v>
      </c>
      <c r="D90" s="44">
        <v>9.99</v>
      </c>
      <c r="E90" s="44"/>
      <c r="F90" s="44" t="str">
        <f>IF(E90="","",D90-E90)</f>
        <v/>
      </c>
      <c r="G90" s="44">
        <v>20</v>
      </c>
      <c r="H90" s="182" t="str">
        <f>IF(AND(,F90&gt;G90,F91&gt;G91,F92&gt;G92,F93&gt;G93,F94&gt;G94,F95&gt;G95,F96&gt;G96,F97&gt;G97),"EQUIPO NO CUMPLE ESPECIFICACIÓN","EQUIPO CUMPLE ESPECIFICACIÓN")</f>
        <v>EQUIPO CUMPLE ESPECIFICACIÓN</v>
      </c>
      <c r="I90" s="44" t="s">
        <v>157</v>
      </c>
      <c r="J90" s="42">
        <v>0</v>
      </c>
      <c r="K90" s="51"/>
      <c r="L90" s="42">
        <f>G90</f>
        <v>20</v>
      </c>
      <c r="M90" s="42">
        <f>-G90</f>
        <v>-20</v>
      </c>
      <c r="N90" s="51"/>
      <c r="O90" s="51"/>
      <c r="P90" s="51"/>
      <c r="Q90" s="51"/>
      <c r="R90" s="51"/>
      <c r="S90" s="51"/>
      <c r="T90" s="51"/>
      <c r="U90" s="51"/>
      <c r="V90" s="51"/>
    </row>
    <row r="91" spans="2:22" ht="21.6" customHeight="1">
      <c r="B91" s="44">
        <v>324</v>
      </c>
      <c r="C91" s="44">
        <f t="shared" ref="C91:C97" si="8">B91*2.205</f>
        <v>714.42000000000007</v>
      </c>
      <c r="D91" s="44">
        <v>718.08</v>
      </c>
      <c r="E91" s="44"/>
      <c r="F91" s="44" t="str">
        <f t="shared" ref="F91:F97" si="9">IF(E91="","",D91-E91)</f>
        <v/>
      </c>
      <c r="G91" s="44">
        <v>20</v>
      </c>
      <c r="H91" s="182"/>
      <c r="I91" s="44" t="s">
        <v>158</v>
      </c>
      <c r="J91" s="42">
        <v>0</v>
      </c>
      <c r="K91" s="51"/>
      <c r="L91" s="42">
        <f t="shared" ref="L91:L97" si="10">G91</f>
        <v>20</v>
      </c>
      <c r="M91" s="42">
        <f t="shared" ref="M91:M97" si="11">-G91</f>
        <v>-20</v>
      </c>
      <c r="N91" s="51"/>
      <c r="O91" s="51"/>
      <c r="P91" s="51"/>
      <c r="Q91" s="51"/>
      <c r="R91" s="51"/>
      <c r="S91" s="51"/>
      <c r="T91" s="51"/>
      <c r="U91" s="51"/>
      <c r="V91" s="51"/>
    </row>
    <row r="92" spans="2:22" ht="21.6" customHeight="1">
      <c r="B92" s="44">
        <v>648</v>
      </c>
      <c r="C92" s="44">
        <f t="shared" si="8"/>
        <v>1428.8400000000001</v>
      </c>
      <c r="D92" s="44">
        <v>1428.83</v>
      </c>
      <c r="E92" s="44"/>
      <c r="F92" s="44" t="str">
        <f t="shared" si="9"/>
        <v/>
      </c>
      <c r="G92" s="44">
        <v>20</v>
      </c>
      <c r="H92" s="182"/>
      <c r="I92" s="44" t="s">
        <v>159</v>
      </c>
      <c r="J92" s="42" t="s">
        <v>214</v>
      </c>
      <c r="K92" s="51"/>
      <c r="L92" s="42">
        <f t="shared" si="10"/>
        <v>20</v>
      </c>
      <c r="M92" s="42">
        <f t="shared" si="11"/>
        <v>-20</v>
      </c>
      <c r="N92" s="51"/>
      <c r="O92" s="51"/>
      <c r="P92" s="51"/>
      <c r="Q92" s="51"/>
      <c r="R92" s="51"/>
      <c r="S92" s="51"/>
      <c r="T92" s="51"/>
      <c r="U92" s="51"/>
      <c r="V92" s="51"/>
    </row>
    <row r="93" spans="2:22" ht="21.6" customHeight="1">
      <c r="B93" s="44">
        <v>972</v>
      </c>
      <c r="C93" s="44">
        <f t="shared" si="8"/>
        <v>2143.2600000000002</v>
      </c>
      <c r="D93" s="44">
        <v>2148.75</v>
      </c>
      <c r="E93" s="44"/>
      <c r="F93" s="44" t="str">
        <f t="shared" si="9"/>
        <v/>
      </c>
      <c r="G93" s="44">
        <v>20</v>
      </c>
      <c r="H93" s="182"/>
      <c r="I93" s="44" t="s">
        <v>146</v>
      </c>
      <c r="J93" s="50">
        <v>45839</v>
      </c>
      <c r="K93" s="51"/>
      <c r="L93" s="42">
        <f t="shared" si="10"/>
        <v>20</v>
      </c>
      <c r="M93" s="42">
        <f t="shared" si="11"/>
        <v>-20</v>
      </c>
      <c r="N93" s="51"/>
      <c r="O93" s="51"/>
      <c r="P93" s="51"/>
      <c r="Q93" s="51"/>
      <c r="R93" s="51"/>
      <c r="S93" s="51"/>
      <c r="T93" s="51"/>
      <c r="U93" s="51"/>
      <c r="V93" s="51"/>
    </row>
    <row r="94" spans="2:22" ht="21.6" customHeight="1">
      <c r="B94" s="44">
        <v>1296</v>
      </c>
      <c r="C94" s="44">
        <f t="shared" si="8"/>
        <v>2857.6800000000003</v>
      </c>
      <c r="D94" s="96">
        <v>2865.2</v>
      </c>
      <c r="E94" s="44"/>
      <c r="F94" s="44" t="str">
        <f t="shared" si="9"/>
        <v/>
      </c>
      <c r="G94" s="44">
        <v>20</v>
      </c>
      <c r="H94" s="182"/>
      <c r="I94" s="175" t="s">
        <v>161</v>
      </c>
      <c r="J94" s="175"/>
      <c r="K94" s="51"/>
      <c r="L94" s="42">
        <f t="shared" si="10"/>
        <v>20</v>
      </c>
      <c r="M94" s="42">
        <f t="shared" si="11"/>
        <v>-20</v>
      </c>
      <c r="N94" s="51"/>
      <c r="O94" s="51"/>
      <c r="P94" s="51"/>
      <c r="Q94" s="51"/>
      <c r="R94" s="51"/>
      <c r="S94" s="51"/>
      <c r="T94" s="51"/>
      <c r="U94" s="51"/>
      <c r="V94" s="51"/>
    </row>
    <row r="95" spans="2:22" ht="21.6" customHeight="1">
      <c r="B95" s="44">
        <v>1620</v>
      </c>
      <c r="C95" s="44">
        <f t="shared" si="8"/>
        <v>3572.1</v>
      </c>
      <c r="D95" s="44">
        <v>3581.56</v>
      </c>
      <c r="E95" s="44"/>
      <c r="F95" s="44" t="str">
        <f t="shared" si="9"/>
        <v/>
      </c>
      <c r="G95" s="44">
        <v>20</v>
      </c>
      <c r="H95" s="182"/>
      <c r="I95" s="175"/>
      <c r="J95" s="175"/>
      <c r="K95" s="51"/>
      <c r="L95" s="42">
        <f t="shared" si="10"/>
        <v>20</v>
      </c>
      <c r="M95" s="42">
        <f t="shared" si="11"/>
        <v>-20</v>
      </c>
      <c r="N95" s="51"/>
      <c r="O95" s="51"/>
      <c r="P95" s="51"/>
      <c r="Q95" s="51"/>
      <c r="R95" s="51"/>
      <c r="S95" s="51"/>
      <c r="T95" s="51"/>
      <c r="U95" s="51"/>
      <c r="V95" s="51"/>
    </row>
    <row r="96" spans="2:22" ht="21.6" customHeight="1">
      <c r="B96" s="44">
        <v>1944</v>
      </c>
      <c r="C96" s="44">
        <f t="shared" si="8"/>
        <v>4286.5200000000004</v>
      </c>
      <c r="D96" s="44">
        <v>4301.8</v>
      </c>
      <c r="E96" s="44"/>
      <c r="F96" s="44" t="str">
        <f t="shared" si="9"/>
        <v/>
      </c>
      <c r="G96" s="44">
        <v>20</v>
      </c>
      <c r="H96" s="182"/>
      <c r="I96" s="175"/>
      <c r="J96" s="175"/>
      <c r="K96" s="51"/>
      <c r="L96" s="42">
        <f t="shared" si="10"/>
        <v>20</v>
      </c>
      <c r="M96" s="42">
        <f t="shared" si="11"/>
        <v>-20</v>
      </c>
      <c r="N96" s="51"/>
      <c r="O96" s="51"/>
      <c r="P96" s="51"/>
      <c r="Q96" s="51"/>
      <c r="R96" s="51"/>
      <c r="S96" s="51"/>
      <c r="T96" s="51"/>
      <c r="U96" s="51"/>
      <c r="V96" s="51"/>
    </row>
    <row r="97" spans="2:22" ht="21.6" customHeight="1">
      <c r="B97" s="44">
        <v>2268</v>
      </c>
      <c r="C97" s="44">
        <f t="shared" si="8"/>
        <v>5000.9400000000005</v>
      </c>
      <c r="D97" s="44">
        <v>5011.22</v>
      </c>
      <c r="E97" s="44"/>
      <c r="F97" s="44" t="str">
        <f t="shared" si="9"/>
        <v/>
      </c>
      <c r="G97" s="44">
        <v>20</v>
      </c>
      <c r="H97" s="182"/>
      <c r="I97" s="175"/>
      <c r="J97" s="175"/>
      <c r="K97" s="51"/>
      <c r="L97" s="42">
        <f t="shared" si="10"/>
        <v>20</v>
      </c>
      <c r="M97" s="42">
        <f t="shared" si="11"/>
        <v>-20</v>
      </c>
      <c r="N97" s="51"/>
      <c r="O97" s="51"/>
      <c r="P97" s="51"/>
      <c r="Q97" s="51"/>
      <c r="R97" s="51"/>
      <c r="S97" s="51"/>
      <c r="T97" s="51"/>
      <c r="U97" s="51"/>
      <c r="V97" s="51"/>
    </row>
    <row r="98" spans="2:22" ht="15" customHeight="1">
      <c r="B98" s="111"/>
      <c r="C98" s="112"/>
      <c r="D98" s="111"/>
      <c r="E98" s="111"/>
      <c r="F98" s="40"/>
      <c r="H98" s="51"/>
      <c r="I98" s="51"/>
      <c r="K98" s="57"/>
      <c r="L98" s="57"/>
    </row>
    <row r="99" spans="2:22" s="51" customFormat="1" ht="14.45" customHeight="1">
      <c r="B99" s="186" t="s">
        <v>191</v>
      </c>
      <c r="C99" s="186"/>
      <c r="D99" s="186"/>
      <c r="E99" s="186"/>
      <c r="F99" s="186"/>
      <c r="H99" s="38"/>
      <c r="I99" s="38"/>
      <c r="J99" s="38"/>
    </row>
    <row r="100" spans="2:22" s="51" customFormat="1" ht="14.45" customHeight="1">
      <c r="B100" s="208" t="s">
        <v>192</v>
      </c>
      <c r="C100" s="208"/>
      <c r="D100" s="208"/>
      <c r="E100" s="208"/>
      <c r="F100" s="208"/>
      <c r="H100" s="38"/>
      <c r="I100" s="38"/>
      <c r="J100" s="38"/>
    </row>
    <row r="101" spans="2:22" s="51" customFormat="1" ht="14.45" customHeight="1">
      <c r="B101" s="99" t="s">
        <v>193</v>
      </c>
      <c r="C101" s="99" t="s">
        <v>194</v>
      </c>
      <c r="D101" s="99" t="s">
        <v>195</v>
      </c>
      <c r="E101" s="99" t="s">
        <v>196</v>
      </c>
      <c r="F101" s="99" t="s">
        <v>197</v>
      </c>
      <c r="H101" s="38"/>
      <c r="I101" s="38"/>
      <c r="J101" s="38"/>
    </row>
    <row r="102" spans="2:22" s="51" customFormat="1" ht="14.45" customHeight="1">
      <c r="B102" s="103">
        <v>4.17</v>
      </c>
      <c r="C102" s="103">
        <v>5.82</v>
      </c>
      <c r="D102" s="103">
        <v>5.82</v>
      </c>
      <c r="E102" s="103">
        <v>9.99</v>
      </c>
      <c r="F102" s="103">
        <v>9.99</v>
      </c>
      <c r="H102" s="38"/>
      <c r="I102" s="38"/>
      <c r="J102" s="38"/>
    </row>
    <row r="103" spans="2:22" s="51" customFormat="1" ht="14.45" customHeight="1">
      <c r="B103" s="103">
        <v>714.02</v>
      </c>
      <c r="C103" s="103">
        <v>4.0599999999999996</v>
      </c>
      <c r="D103" s="103">
        <v>4.0599999999999996</v>
      </c>
      <c r="E103" s="103">
        <v>718.08</v>
      </c>
      <c r="F103" s="103">
        <v>718.08</v>
      </c>
      <c r="H103" s="38"/>
      <c r="I103" s="38"/>
      <c r="J103" s="38"/>
    </row>
    <row r="104" spans="2:22" s="51" customFormat="1" ht="14.45" customHeight="1">
      <c r="B104" s="103">
        <v>1423.05</v>
      </c>
      <c r="C104" s="103">
        <v>5.78</v>
      </c>
      <c r="D104" s="103">
        <v>5.78</v>
      </c>
      <c r="E104" s="103">
        <v>1428.83</v>
      </c>
      <c r="F104" s="103">
        <v>1428.83</v>
      </c>
      <c r="H104" s="38"/>
      <c r="I104" s="38"/>
      <c r="J104" s="38"/>
    </row>
    <row r="105" spans="2:22" s="51" customFormat="1" ht="14.45" customHeight="1">
      <c r="B105" s="103">
        <v>2137.0700000000002</v>
      </c>
      <c r="C105" s="103">
        <v>11.67</v>
      </c>
      <c r="D105" s="103">
        <v>11.67</v>
      </c>
      <c r="E105" s="103">
        <v>2148.75</v>
      </c>
      <c r="F105" s="103">
        <v>2148.7399999999998</v>
      </c>
      <c r="H105" s="38"/>
      <c r="I105" s="38"/>
      <c r="J105" s="38"/>
    </row>
    <row r="106" spans="2:22" s="51" customFormat="1" ht="14.45" customHeight="1">
      <c r="B106" s="103">
        <v>2848.6</v>
      </c>
      <c r="C106" s="103">
        <v>16.600000000000001</v>
      </c>
      <c r="D106" s="103">
        <v>16.600000000000001</v>
      </c>
      <c r="E106" s="103">
        <v>2865.2</v>
      </c>
      <c r="F106" s="103">
        <v>2865.2</v>
      </c>
      <c r="H106" s="38"/>
      <c r="I106" s="38"/>
      <c r="J106" s="38"/>
    </row>
    <row r="107" spans="2:22" s="51" customFormat="1" ht="14.45" customHeight="1">
      <c r="B107" s="42">
        <v>3560.95</v>
      </c>
      <c r="C107" s="42">
        <v>20.61</v>
      </c>
      <c r="D107" s="42">
        <v>20.61</v>
      </c>
      <c r="E107" s="42">
        <v>3581.56</v>
      </c>
      <c r="F107" s="42">
        <v>3581.56</v>
      </c>
      <c r="H107" s="38"/>
      <c r="I107" s="38"/>
      <c r="J107" s="38"/>
    </row>
    <row r="108" spans="2:22" s="51" customFormat="1" ht="14.45" customHeight="1">
      <c r="B108" s="42">
        <v>4274.9799999999996</v>
      </c>
      <c r="C108" s="42">
        <v>26.82</v>
      </c>
      <c r="D108" s="42">
        <v>26.82</v>
      </c>
      <c r="E108" s="42">
        <v>4301.8</v>
      </c>
      <c r="F108" s="42">
        <v>4301.8</v>
      </c>
      <c r="H108" s="38"/>
      <c r="I108" s="38"/>
      <c r="J108" s="38"/>
    </row>
    <row r="109" spans="2:22" s="51" customFormat="1" ht="14.45" customHeight="1">
      <c r="B109" s="42">
        <v>4984.84</v>
      </c>
      <c r="C109" s="42">
        <v>26.38</v>
      </c>
      <c r="D109" s="42">
        <v>26.38</v>
      </c>
      <c r="E109" s="42">
        <v>5011.22</v>
      </c>
      <c r="F109" s="42">
        <v>5011.22</v>
      </c>
      <c r="H109" s="38"/>
      <c r="I109" s="38"/>
      <c r="J109" s="38"/>
    </row>
    <row r="110" spans="2:22" s="51" customFormat="1" ht="4.9000000000000004" customHeight="1">
      <c r="B110" s="209"/>
      <c r="C110" s="210"/>
      <c r="D110" s="210"/>
      <c r="E110" s="210"/>
      <c r="F110" s="211"/>
      <c r="H110" s="38"/>
      <c r="I110" s="38"/>
      <c r="J110" s="38"/>
    </row>
    <row r="111" spans="2:22" s="51" customFormat="1" ht="14.45" customHeight="1">
      <c r="B111" s="208" t="s">
        <v>198</v>
      </c>
      <c r="C111" s="208"/>
      <c r="D111" s="208"/>
      <c r="E111" s="208"/>
      <c r="F111" s="208"/>
      <c r="H111" s="38"/>
      <c r="I111" s="38"/>
      <c r="J111" s="38"/>
    </row>
    <row r="112" spans="2:22" s="51" customFormat="1" ht="14.45" customHeight="1">
      <c r="B112" s="99" t="s">
        <v>193</v>
      </c>
      <c r="C112" s="99" t="s">
        <v>194</v>
      </c>
      <c r="D112" s="99" t="s">
        <v>195</v>
      </c>
      <c r="E112" s="99" t="s">
        <v>196</v>
      </c>
      <c r="F112" s="99" t="s">
        <v>197</v>
      </c>
      <c r="H112" s="38"/>
      <c r="I112" s="38"/>
      <c r="J112" s="38"/>
    </row>
    <row r="113" spans="2:12" s="51" customFormat="1" ht="14.45" customHeight="1">
      <c r="B113" s="42">
        <v>0</v>
      </c>
      <c r="C113" s="42">
        <v>0</v>
      </c>
      <c r="D113" s="42">
        <v>0</v>
      </c>
      <c r="E113" s="42">
        <v>0</v>
      </c>
      <c r="F113" s="42">
        <v>0</v>
      </c>
      <c r="H113" s="38"/>
      <c r="I113" s="38"/>
      <c r="J113" s="38"/>
    </row>
    <row r="114" spans="2:12" s="51" customFormat="1" ht="14.45" customHeight="1">
      <c r="B114" s="42">
        <v>0</v>
      </c>
      <c r="C114" s="42">
        <v>0</v>
      </c>
      <c r="D114" s="42">
        <v>0</v>
      </c>
      <c r="E114" s="42">
        <v>0</v>
      </c>
      <c r="F114" s="42">
        <v>0</v>
      </c>
      <c r="H114" s="38"/>
      <c r="I114" s="38"/>
      <c r="J114" s="38"/>
    </row>
    <row r="115" spans="2:12" s="51" customFormat="1" ht="14.45" customHeight="1">
      <c r="B115" s="42">
        <v>0</v>
      </c>
      <c r="C115" s="42">
        <v>0</v>
      </c>
      <c r="D115" s="42">
        <v>0</v>
      </c>
      <c r="E115" s="42">
        <v>0</v>
      </c>
      <c r="F115" s="42">
        <v>0</v>
      </c>
      <c r="H115" s="38"/>
      <c r="I115" s="38"/>
      <c r="J115" s="38"/>
    </row>
    <row r="116" spans="2:12" s="51" customFormat="1" ht="14.45" customHeight="1">
      <c r="B116" s="42">
        <v>0</v>
      </c>
      <c r="C116" s="42">
        <v>0</v>
      </c>
      <c r="D116" s="42">
        <v>0</v>
      </c>
      <c r="E116" s="42">
        <v>0</v>
      </c>
      <c r="F116" s="42">
        <v>0</v>
      </c>
      <c r="H116" s="38"/>
      <c r="I116" s="38"/>
      <c r="J116" s="38"/>
    </row>
    <row r="117" spans="2:12" s="51" customFormat="1" ht="14.45" customHeight="1">
      <c r="B117" s="42">
        <v>0</v>
      </c>
      <c r="C117" s="42">
        <v>0</v>
      </c>
      <c r="D117" s="42">
        <v>0</v>
      </c>
      <c r="E117" s="42">
        <v>0</v>
      </c>
      <c r="F117" s="42">
        <v>0</v>
      </c>
      <c r="H117" s="38"/>
      <c r="I117" s="38"/>
      <c r="J117" s="38"/>
    </row>
    <row r="118" spans="2:12" s="51" customFormat="1" ht="14.45" customHeight="1">
      <c r="B118" s="42">
        <v>0</v>
      </c>
      <c r="C118" s="42">
        <v>0</v>
      </c>
      <c r="D118" s="42">
        <v>0</v>
      </c>
      <c r="E118" s="42">
        <v>0</v>
      </c>
      <c r="F118" s="42">
        <v>0</v>
      </c>
      <c r="H118" s="38"/>
      <c r="I118" s="38"/>
      <c r="J118" s="38"/>
    </row>
    <row r="119" spans="2:12" s="51" customFormat="1" ht="14.45" customHeight="1">
      <c r="B119" s="42">
        <v>0</v>
      </c>
      <c r="C119" s="42">
        <v>0</v>
      </c>
      <c r="D119" s="42">
        <v>0</v>
      </c>
      <c r="E119" s="42">
        <v>0</v>
      </c>
      <c r="F119" s="42">
        <v>0</v>
      </c>
      <c r="H119" s="38"/>
      <c r="I119" s="38"/>
      <c r="J119" s="38"/>
    </row>
    <row r="120" spans="2:12" s="51" customFormat="1" ht="14.45" customHeight="1">
      <c r="B120" s="42">
        <v>0</v>
      </c>
      <c r="C120" s="42">
        <v>0</v>
      </c>
      <c r="D120" s="42">
        <v>0</v>
      </c>
      <c r="E120" s="42">
        <v>0</v>
      </c>
      <c r="F120" s="42">
        <v>0</v>
      </c>
      <c r="H120" s="38"/>
      <c r="I120" s="38"/>
      <c r="J120" s="38"/>
    </row>
    <row r="121" spans="2:12" ht="15" customHeight="1">
      <c r="B121" s="111"/>
      <c r="C121" s="111"/>
      <c r="D121" s="111"/>
      <c r="E121" s="111"/>
      <c r="F121" s="40"/>
      <c r="H121" s="51"/>
      <c r="I121" s="51"/>
      <c r="K121" s="57"/>
      <c r="L121" s="57"/>
    </row>
    <row r="122" spans="2:12" ht="15" customHeight="1">
      <c r="B122" s="111"/>
      <c r="C122" s="111"/>
      <c r="D122" s="111"/>
      <c r="E122" s="111"/>
      <c r="F122" s="40"/>
      <c r="H122" s="51"/>
      <c r="I122" s="51"/>
      <c r="K122" s="57"/>
      <c r="L122" s="57"/>
    </row>
    <row r="123" spans="2:12" ht="15" customHeight="1">
      <c r="B123" s="111"/>
      <c r="C123" s="111"/>
      <c r="D123" s="111"/>
      <c r="E123" s="111"/>
      <c r="F123" s="40"/>
      <c r="G123" s="51"/>
      <c r="H123" s="51"/>
      <c r="K123" s="57"/>
      <c r="L123" s="57"/>
    </row>
    <row r="124" spans="2:12" ht="15" customHeight="1"/>
    <row r="125" spans="2:12" ht="15" customHeight="1"/>
    <row r="126" spans="2:12" ht="15" customHeight="1"/>
  </sheetData>
  <mergeCells count="36">
    <mergeCell ref="B31:F31"/>
    <mergeCell ref="G3:G4"/>
    <mergeCell ref="H3:H4"/>
    <mergeCell ref="B6:J6"/>
    <mergeCell ref="B7:C7"/>
    <mergeCell ref="F7:J8"/>
    <mergeCell ref="B8:C8"/>
    <mergeCell ref="H10:H17"/>
    <mergeCell ref="I14:J17"/>
    <mergeCell ref="B19:F19"/>
    <mergeCell ref="B20:F20"/>
    <mergeCell ref="B30:F30"/>
    <mergeCell ref="B71:F71"/>
    <mergeCell ref="G43:G44"/>
    <mergeCell ref="H43:H44"/>
    <mergeCell ref="B46:J46"/>
    <mergeCell ref="B47:C47"/>
    <mergeCell ref="F47:J48"/>
    <mergeCell ref="B48:C48"/>
    <mergeCell ref="H50:H57"/>
    <mergeCell ref="I54:J57"/>
    <mergeCell ref="B59:F59"/>
    <mergeCell ref="B60:F60"/>
    <mergeCell ref="B70:F70"/>
    <mergeCell ref="B111:F111"/>
    <mergeCell ref="G83:G84"/>
    <mergeCell ref="H83:H84"/>
    <mergeCell ref="B86:J86"/>
    <mergeCell ref="B87:C87"/>
    <mergeCell ref="F87:J88"/>
    <mergeCell ref="B88:C88"/>
    <mergeCell ref="H90:H97"/>
    <mergeCell ref="I94:J97"/>
    <mergeCell ref="B99:F99"/>
    <mergeCell ref="B100:F100"/>
    <mergeCell ref="B110:F110"/>
  </mergeCells>
  <conditionalFormatting sqref="P9">
    <cfRule type="expression" dxfId="13" priority="5">
      <formula>" "</formula>
    </cfRule>
    <cfRule type="containsText" dxfId="12" priority="6" operator="containsText" text="&quot;&quot;">
      <formula>NOT(ISERROR(SEARCH("""""",P9)))</formula>
    </cfRule>
  </conditionalFormatting>
  <conditionalFormatting sqref="P49">
    <cfRule type="expression" dxfId="11" priority="3">
      <formula>" "</formula>
    </cfRule>
    <cfRule type="containsText" dxfId="10" priority="4" operator="containsText" text="&quot;&quot;">
      <formula>NOT(ISERROR(SEARCH("""""",P49)))</formula>
    </cfRule>
  </conditionalFormatting>
  <conditionalFormatting sqref="P89">
    <cfRule type="expression" dxfId="9" priority="1">
      <formula>" "</formula>
    </cfRule>
    <cfRule type="containsText" dxfId="8" priority="2" operator="containsText" text="&quot;&quot;">
      <formula>NOT(ISERROR(SEARCH("""""",P89)))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8A89-967A-4C8D-BEDF-AEC88A497E4C}">
  <dimension ref="B3:H39"/>
  <sheetViews>
    <sheetView workbookViewId="0">
      <selection activeCell="J36" sqref="J36"/>
    </sheetView>
  </sheetViews>
  <sheetFormatPr defaultColWidth="11.42578125" defaultRowHeight="15"/>
  <cols>
    <col min="3" max="5" width="12" customWidth="1"/>
  </cols>
  <sheetData>
    <row r="3" spans="2:8">
      <c r="B3" t="s">
        <v>227</v>
      </c>
    </row>
    <row r="5" spans="2:8">
      <c r="B5" s="59" t="s">
        <v>228</v>
      </c>
      <c r="C5" s="231" t="s">
        <v>229</v>
      </c>
      <c r="D5" s="232"/>
      <c r="E5" s="233"/>
      <c r="F5" s="234" t="s">
        <v>230</v>
      </c>
      <c r="G5" s="234"/>
      <c r="H5" s="234"/>
    </row>
    <row r="6" spans="2:8">
      <c r="B6" s="59">
        <v>1</v>
      </c>
      <c r="C6" s="59">
        <v>-0.2</v>
      </c>
      <c r="D6" s="59">
        <v>0</v>
      </c>
      <c r="E6" s="59">
        <v>0</v>
      </c>
      <c r="F6" s="59"/>
      <c r="G6" s="59"/>
      <c r="H6" s="59"/>
    </row>
    <row r="7" spans="2:8">
      <c r="B7" s="59">
        <v>2</v>
      </c>
      <c r="C7" s="59">
        <v>0.2</v>
      </c>
      <c r="D7" s="59">
        <v>0</v>
      </c>
      <c r="E7" s="59">
        <v>0</v>
      </c>
      <c r="F7" s="59"/>
      <c r="G7" s="59"/>
      <c r="H7" s="59"/>
    </row>
    <row r="8" spans="2:8">
      <c r="B8" s="59">
        <v>3</v>
      </c>
      <c r="C8" s="59">
        <v>-0.1</v>
      </c>
      <c r="D8" s="59">
        <v>0</v>
      </c>
      <c r="E8" s="59">
        <v>0</v>
      </c>
      <c r="F8" s="59"/>
      <c r="G8" s="59"/>
      <c r="H8" s="59"/>
    </row>
    <row r="9" spans="2:8">
      <c r="B9" s="59">
        <v>4</v>
      </c>
      <c r="C9" s="59">
        <v>-0.2</v>
      </c>
      <c r="D9" s="59">
        <v>0</v>
      </c>
      <c r="E9" s="59">
        <v>0</v>
      </c>
      <c r="F9" s="59"/>
      <c r="G9" s="59"/>
      <c r="H9" s="59"/>
    </row>
    <row r="10" spans="2:8">
      <c r="B10" s="59">
        <v>5</v>
      </c>
      <c r="C10" s="59">
        <v>-0.2</v>
      </c>
      <c r="D10" s="59">
        <v>0</v>
      </c>
      <c r="E10" s="59">
        <v>0</v>
      </c>
      <c r="F10" s="59"/>
      <c r="G10" s="59"/>
      <c r="H10" s="59"/>
    </row>
    <row r="11" spans="2:8">
      <c r="B11" s="59">
        <v>6</v>
      </c>
      <c r="C11" s="59">
        <v>0</v>
      </c>
      <c r="D11" s="59">
        <v>0</v>
      </c>
      <c r="E11" s="59">
        <v>0</v>
      </c>
      <c r="F11" s="59"/>
      <c r="G11" s="59"/>
      <c r="H11" s="59"/>
    </row>
    <row r="12" spans="2:8">
      <c r="B12" s="59">
        <v>7</v>
      </c>
      <c r="C12" s="59">
        <v>0.4</v>
      </c>
      <c r="D12" s="59">
        <v>0</v>
      </c>
      <c r="E12" s="59">
        <v>0</v>
      </c>
      <c r="F12" s="59"/>
      <c r="G12" s="59"/>
      <c r="H12" s="59"/>
    </row>
    <row r="13" spans="2:8">
      <c r="B13" s="59">
        <v>8</v>
      </c>
      <c r="C13" s="59">
        <v>-0.1</v>
      </c>
      <c r="D13" s="59">
        <v>0</v>
      </c>
      <c r="E13" s="59">
        <v>0</v>
      </c>
      <c r="F13" s="59"/>
      <c r="G13" s="59"/>
      <c r="H13" s="59"/>
    </row>
    <row r="14" spans="2:8">
      <c r="B14" s="59">
        <v>9</v>
      </c>
      <c r="C14" s="59">
        <v>-0.1</v>
      </c>
      <c r="D14" s="59">
        <v>0</v>
      </c>
      <c r="E14" s="59">
        <v>0</v>
      </c>
      <c r="F14" s="59"/>
      <c r="G14" s="59"/>
      <c r="H14" s="59"/>
    </row>
    <row r="15" spans="2:8">
      <c r="B15" s="59">
        <v>10</v>
      </c>
      <c r="C15" s="59">
        <v>-0.3</v>
      </c>
      <c r="D15" s="59">
        <v>0</v>
      </c>
      <c r="E15" s="59">
        <v>0</v>
      </c>
      <c r="F15" s="59"/>
      <c r="G15" s="59"/>
      <c r="H15" s="59"/>
    </row>
    <row r="17" spans="2:8">
      <c r="B17" s="59" t="s">
        <v>231</v>
      </c>
      <c r="C17" s="231" t="s">
        <v>229</v>
      </c>
      <c r="D17" s="232"/>
      <c r="E17" s="233"/>
      <c r="F17" s="234" t="s">
        <v>230</v>
      </c>
      <c r="G17" s="234"/>
      <c r="H17" s="234"/>
    </row>
    <row r="18" spans="2:8">
      <c r="B18" s="59">
        <v>1</v>
      </c>
      <c r="C18" s="59">
        <v>6.0999999999999999E-2</v>
      </c>
      <c r="D18" s="59">
        <v>0</v>
      </c>
      <c r="E18" s="59">
        <v>0</v>
      </c>
      <c r="F18" s="59"/>
      <c r="G18" s="59"/>
      <c r="H18" s="59"/>
    </row>
    <row r="19" spans="2:8">
      <c r="B19" s="59">
        <v>2</v>
      </c>
      <c r="C19" s="59">
        <v>8.5999999999999993E-2</v>
      </c>
      <c r="D19" s="59">
        <v>0</v>
      </c>
      <c r="E19" s="59">
        <v>0</v>
      </c>
      <c r="F19" s="59"/>
      <c r="G19" s="59"/>
      <c r="H19" s="59"/>
    </row>
    <row r="20" spans="2:8">
      <c r="B20" s="59">
        <v>3</v>
      </c>
      <c r="C20" s="59">
        <v>8.5999999999999993E-2</v>
      </c>
      <c r="D20" s="59">
        <v>0</v>
      </c>
      <c r="E20" s="59">
        <v>0</v>
      </c>
      <c r="F20" s="59"/>
      <c r="G20" s="59"/>
      <c r="H20" s="59"/>
    </row>
    <row r="21" spans="2:8">
      <c r="B21" s="59">
        <v>4</v>
      </c>
      <c r="C21" s="59">
        <v>8.5999999999999993E-2</v>
      </c>
      <c r="D21" s="59">
        <v>0</v>
      </c>
      <c r="E21" s="59">
        <v>0</v>
      </c>
      <c r="F21" s="59"/>
      <c r="G21" s="59"/>
      <c r="H21" s="59"/>
    </row>
    <row r="22" spans="2:8">
      <c r="B22" s="59">
        <v>5</v>
      </c>
      <c r="C22" s="59">
        <v>6.0999999999999999E-2</v>
      </c>
      <c r="D22" s="59">
        <v>0</v>
      </c>
      <c r="E22" s="59">
        <v>0</v>
      </c>
      <c r="F22" s="59"/>
      <c r="G22" s="59"/>
      <c r="H22" s="59"/>
    </row>
    <row r="23" spans="2:8">
      <c r="B23" s="59">
        <v>6</v>
      </c>
      <c r="C23" s="59">
        <v>0.111</v>
      </c>
      <c r="D23" s="59">
        <v>0</v>
      </c>
      <c r="E23" s="59">
        <v>0</v>
      </c>
      <c r="F23" s="59"/>
      <c r="G23" s="59"/>
      <c r="H23" s="59"/>
    </row>
    <row r="24" spans="2:8">
      <c r="B24" s="59">
        <v>7</v>
      </c>
      <c r="C24" s="59">
        <v>0.161</v>
      </c>
      <c r="D24" s="59">
        <v>0</v>
      </c>
      <c r="E24" s="59">
        <v>0</v>
      </c>
      <c r="F24" s="59"/>
      <c r="G24" s="59"/>
      <c r="H24" s="59"/>
    </row>
    <row r="25" spans="2:8">
      <c r="B25" s="59">
        <v>8</v>
      </c>
      <c r="C25" s="59">
        <v>0.186</v>
      </c>
      <c r="D25" s="59">
        <v>0</v>
      </c>
      <c r="E25" s="59">
        <v>0</v>
      </c>
      <c r="F25" s="59"/>
      <c r="G25" s="59"/>
      <c r="H25" s="59"/>
    </row>
    <row r="26" spans="2:8">
      <c r="B26" s="59">
        <v>9</v>
      </c>
      <c r="C26" s="59">
        <v>0.186</v>
      </c>
      <c r="D26" s="59">
        <v>0</v>
      </c>
      <c r="E26" s="59">
        <v>0</v>
      </c>
      <c r="F26" s="59"/>
      <c r="G26" s="59"/>
      <c r="H26" s="59"/>
    </row>
    <row r="27" spans="2:8">
      <c r="B27" s="59">
        <v>10</v>
      </c>
      <c r="C27" s="59">
        <v>0.186</v>
      </c>
      <c r="D27" s="59">
        <v>0</v>
      </c>
      <c r="E27" s="59">
        <v>0</v>
      </c>
      <c r="F27" s="59"/>
      <c r="G27" s="59"/>
      <c r="H27" s="59"/>
    </row>
    <row r="29" spans="2:8">
      <c r="B29" s="59" t="s">
        <v>232</v>
      </c>
      <c r="C29" s="231" t="s">
        <v>229</v>
      </c>
      <c r="D29" s="232"/>
      <c r="E29" s="233"/>
      <c r="F29" s="234" t="s">
        <v>230</v>
      </c>
      <c r="G29" s="234"/>
      <c r="H29" s="234"/>
    </row>
    <row r="30" spans="2:8">
      <c r="B30" s="59">
        <v>1</v>
      </c>
      <c r="C30" s="59">
        <v>0.36</v>
      </c>
      <c r="D30" s="59">
        <v>0</v>
      </c>
      <c r="E30" s="59">
        <v>0</v>
      </c>
      <c r="F30" s="59"/>
      <c r="G30" s="59"/>
      <c r="H30" s="59"/>
    </row>
    <row r="31" spans="2:8">
      <c r="B31" s="59">
        <v>2</v>
      </c>
      <c r="C31" s="75">
        <v>0.4</v>
      </c>
      <c r="D31" s="59">
        <v>0</v>
      </c>
      <c r="E31" s="59">
        <v>0</v>
      </c>
      <c r="F31" s="59"/>
      <c r="G31" s="59"/>
      <c r="H31" s="59"/>
    </row>
    <row r="32" spans="2:8">
      <c r="B32" s="59">
        <v>3</v>
      </c>
      <c r="C32" s="59">
        <v>0.41</v>
      </c>
      <c r="D32" s="59">
        <v>0</v>
      </c>
      <c r="E32" s="59">
        <v>0</v>
      </c>
      <c r="F32" s="59"/>
      <c r="G32" s="59"/>
      <c r="H32" s="59"/>
    </row>
    <row r="33" spans="2:8">
      <c r="B33" s="59">
        <v>4</v>
      </c>
      <c r="C33" s="59">
        <v>0.18</v>
      </c>
      <c r="D33" s="59">
        <v>0</v>
      </c>
      <c r="E33" s="59">
        <v>0</v>
      </c>
      <c r="F33" s="59"/>
      <c r="G33" s="59"/>
      <c r="H33" s="59"/>
    </row>
    <row r="34" spans="2:8">
      <c r="B34" s="59">
        <v>5</v>
      </c>
      <c r="C34" s="59">
        <v>0.65</v>
      </c>
      <c r="D34" s="59">
        <v>0</v>
      </c>
      <c r="E34" s="59">
        <v>0</v>
      </c>
      <c r="F34" s="59"/>
      <c r="G34" s="59"/>
      <c r="H34" s="59"/>
    </row>
    <row r="35" spans="2:8">
      <c r="B35" s="59">
        <v>6</v>
      </c>
      <c r="C35" s="59">
        <v>0.42</v>
      </c>
      <c r="D35" s="59">
        <v>0</v>
      </c>
      <c r="E35" s="59">
        <v>0</v>
      </c>
      <c r="F35" s="59"/>
      <c r="G35" s="59"/>
      <c r="H35" s="59"/>
    </row>
    <row r="36" spans="2:8">
      <c r="B36" s="59">
        <v>7</v>
      </c>
      <c r="C36" s="59">
        <v>0.8</v>
      </c>
      <c r="D36" s="59">
        <v>0</v>
      </c>
      <c r="E36" s="59">
        <v>0</v>
      </c>
      <c r="F36" s="59"/>
      <c r="G36" s="59"/>
      <c r="H36" s="59"/>
    </row>
    <row r="37" spans="2:8">
      <c r="B37" s="59">
        <v>8</v>
      </c>
      <c r="C37" s="59">
        <v>0.56999999999999995</v>
      </c>
      <c r="D37" s="59">
        <v>0</v>
      </c>
      <c r="E37" s="59">
        <v>0</v>
      </c>
      <c r="F37" s="59"/>
      <c r="G37" s="59"/>
      <c r="H37" s="59"/>
    </row>
    <row r="38" spans="2:8">
      <c r="B38" s="59">
        <v>9</v>
      </c>
      <c r="C38" s="59">
        <v>0.96</v>
      </c>
      <c r="D38" s="59">
        <v>0</v>
      </c>
      <c r="E38" s="59">
        <v>0</v>
      </c>
      <c r="F38" s="59"/>
      <c r="G38" s="59"/>
      <c r="H38" s="59"/>
    </row>
    <row r="39" spans="2:8">
      <c r="B39" s="59">
        <v>10</v>
      </c>
      <c r="C39" s="59">
        <v>0.46</v>
      </c>
      <c r="D39" s="59">
        <v>0</v>
      </c>
      <c r="E39" s="59">
        <v>0</v>
      </c>
      <c r="F39" s="59"/>
      <c r="G39" s="59"/>
      <c r="H39" s="59"/>
    </row>
  </sheetData>
  <mergeCells count="6">
    <mergeCell ref="C5:E5"/>
    <mergeCell ref="F5:H5"/>
    <mergeCell ref="C17:E17"/>
    <mergeCell ref="F17:H17"/>
    <mergeCell ref="C29:E29"/>
    <mergeCell ref="F29:H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87DC-9627-48B6-AB90-E120AE5149B9}">
  <dimension ref="A1:K26"/>
  <sheetViews>
    <sheetView zoomScale="78" workbookViewId="0">
      <selection activeCell="D11" sqref="D11"/>
    </sheetView>
  </sheetViews>
  <sheetFormatPr defaultColWidth="11.42578125" defaultRowHeight="15"/>
  <cols>
    <col min="1" max="1" width="14.7109375" bestFit="1" customWidth="1"/>
    <col min="2" max="2" width="43" customWidth="1"/>
    <col min="3" max="3" width="15.28515625" bestFit="1" customWidth="1"/>
    <col min="4" max="4" width="24.140625" bestFit="1" customWidth="1"/>
    <col min="5" max="5" width="20.5703125" bestFit="1" customWidth="1"/>
    <col min="6" max="6" width="20.85546875" bestFit="1" customWidth="1"/>
    <col min="7" max="7" width="21.28515625" bestFit="1" customWidth="1"/>
    <col min="8" max="8" width="27.42578125" bestFit="1" customWidth="1"/>
    <col min="9" max="9" width="18.85546875" bestFit="1" customWidth="1"/>
    <col min="10" max="10" width="20.7109375" bestFit="1" customWidth="1"/>
    <col min="11" max="11" width="15.7109375" bestFit="1" customWidth="1"/>
  </cols>
  <sheetData>
    <row r="1" spans="1:11" ht="21.75" customHeight="1">
      <c r="B1" s="241"/>
      <c r="C1" s="146" t="s">
        <v>0</v>
      </c>
      <c r="D1" s="147"/>
      <c r="E1" s="147"/>
      <c r="F1" s="147"/>
      <c r="G1" s="147"/>
      <c r="H1" s="147"/>
      <c r="I1" s="147"/>
      <c r="J1" s="148"/>
    </row>
    <row r="2" spans="1:11" ht="21.75" customHeight="1">
      <c r="B2" s="157"/>
      <c r="C2" s="149"/>
      <c r="D2" s="150"/>
      <c r="E2" s="150"/>
      <c r="F2" s="150"/>
      <c r="G2" s="150"/>
      <c r="H2" s="150"/>
      <c r="I2" s="150"/>
      <c r="J2" s="151"/>
    </row>
    <row r="3" spans="1:11" ht="15.75" customHeight="1">
      <c r="B3" s="157"/>
      <c r="C3" s="242" t="s">
        <v>1</v>
      </c>
      <c r="D3" s="243" t="s">
        <v>2</v>
      </c>
      <c r="E3" s="243"/>
      <c r="F3" s="242" t="s">
        <v>3</v>
      </c>
      <c r="G3" s="244" t="s">
        <v>233</v>
      </c>
      <c r="H3" s="244"/>
      <c r="I3" s="245" t="s">
        <v>5</v>
      </c>
      <c r="J3" s="247">
        <v>45803</v>
      </c>
    </row>
    <row r="4" spans="1:11" ht="15.75" customHeight="1">
      <c r="B4" s="158"/>
      <c r="C4" s="160"/>
      <c r="D4" s="162"/>
      <c r="E4" s="162"/>
      <c r="F4" s="160"/>
      <c r="G4" s="141"/>
      <c r="H4" s="141"/>
      <c r="I4" s="246"/>
      <c r="J4" s="248"/>
    </row>
    <row r="5" spans="1:11">
      <c r="B5" s="1"/>
      <c r="C5" s="1"/>
      <c r="D5" s="1"/>
    </row>
    <row r="6" spans="1:11" ht="15.75">
      <c r="B6" s="2"/>
      <c r="C6" s="163" t="s">
        <v>6</v>
      </c>
      <c r="D6" s="164"/>
      <c r="E6" s="63">
        <v>45709</v>
      </c>
      <c r="F6" s="3"/>
      <c r="G6" s="3"/>
      <c r="H6" s="3"/>
      <c r="I6" s="3"/>
      <c r="J6" s="3"/>
    </row>
    <row r="7" spans="1:11">
      <c r="B7" s="2"/>
      <c r="C7" s="2"/>
      <c r="D7" s="2"/>
      <c r="E7" s="3"/>
      <c r="F7" s="3"/>
      <c r="G7" s="3"/>
      <c r="H7" s="3"/>
      <c r="I7" s="3"/>
      <c r="J7" s="3"/>
    </row>
    <row r="8" spans="1:11">
      <c r="B8" s="2"/>
      <c r="C8" s="2"/>
      <c r="D8" s="2"/>
      <c r="E8" s="3"/>
      <c r="F8" s="3"/>
      <c r="G8" s="3"/>
      <c r="H8" s="3"/>
      <c r="I8" s="3"/>
      <c r="J8" s="3"/>
    </row>
    <row r="9" spans="1:11" ht="18.75">
      <c r="B9" s="2"/>
      <c r="C9" s="165" t="s">
        <v>0</v>
      </c>
      <c r="D9" s="166"/>
      <c r="E9" s="166"/>
      <c r="F9" s="167"/>
      <c r="G9" s="3"/>
      <c r="H9" s="3"/>
      <c r="I9" s="3"/>
      <c r="J9" s="3"/>
    </row>
    <row r="10" spans="1:11" ht="18.75">
      <c r="B10" s="2"/>
      <c r="C10" s="29"/>
      <c r="D10" s="29"/>
      <c r="E10" s="29"/>
      <c r="F10" s="29"/>
      <c r="G10" s="3"/>
      <c r="H10" s="3"/>
      <c r="I10" s="3"/>
      <c r="J10" s="3"/>
    </row>
    <row r="12" spans="1:11">
      <c r="A12" s="235" t="s">
        <v>234</v>
      </c>
      <c r="B12" s="235"/>
      <c r="C12" s="235"/>
      <c r="D12" s="235"/>
      <c r="E12" s="235"/>
      <c r="F12" s="235"/>
      <c r="G12" s="235"/>
      <c r="H12" s="235"/>
      <c r="I12" s="235"/>
      <c r="J12" s="235"/>
      <c r="K12" s="235"/>
    </row>
    <row r="13" spans="1:11">
      <c r="A13" s="25" t="s">
        <v>8</v>
      </c>
      <c r="B13" s="25" t="s">
        <v>9</v>
      </c>
      <c r="C13" s="26" t="s">
        <v>10</v>
      </c>
      <c r="D13" s="26" t="s">
        <v>11</v>
      </c>
      <c r="E13" s="26" t="s">
        <v>12</v>
      </c>
      <c r="F13" s="26" t="s">
        <v>13</v>
      </c>
      <c r="G13" s="26" t="s">
        <v>14</v>
      </c>
      <c r="H13" s="26" t="s">
        <v>15</v>
      </c>
      <c r="I13" s="26" t="s">
        <v>20</v>
      </c>
      <c r="J13" s="26" t="s">
        <v>19</v>
      </c>
      <c r="K13" s="26" t="s">
        <v>235</v>
      </c>
    </row>
    <row r="14" spans="1:11">
      <c r="A14" s="55" t="s">
        <v>236</v>
      </c>
      <c r="B14" s="33" t="s">
        <v>105</v>
      </c>
      <c r="C14" s="34" t="s">
        <v>106</v>
      </c>
      <c r="D14" s="34" t="s">
        <v>237</v>
      </c>
      <c r="E14" s="35" t="s">
        <v>107</v>
      </c>
      <c r="F14" s="35">
        <v>3626</v>
      </c>
      <c r="G14" s="36">
        <v>45274</v>
      </c>
      <c r="H14" s="36">
        <f t="shared" ref="H14:H15" si="0">+G14+365</f>
        <v>45639</v>
      </c>
      <c r="I14" s="36" t="str">
        <f t="shared" ref="I14:I15" ca="1" si="1">IF(H14&lt;TODAY(),"VENCIDO",IF(H14-TODAY()&lt;15,"PROXIMO A VENCER","CERTIFICADO"))</f>
        <v>VENCIDO</v>
      </c>
      <c r="J14" s="34" t="s">
        <v>238</v>
      </c>
      <c r="K14" s="37">
        <v>45541</v>
      </c>
    </row>
    <row r="15" spans="1:11">
      <c r="A15" s="55" t="s">
        <v>239</v>
      </c>
      <c r="B15" s="33" t="s">
        <v>105</v>
      </c>
      <c r="C15" s="34" t="s">
        <v>132</v>
      </c>
      <c r="D15" s="34" t="s">
        <v>240</v>
      </c>
      <c r="E15" s="35" t="s">
        <v>140</v>
      </c>
      <c r="F15" s="35" t="s">
        <v>241</v>
      </c>
      <c r="G15" s="36">
        <v>45062</v>
      </c>
      <c r="H15" s="36">
        <f t="shared" si="0"/>
        <v>45427</v>
      </c>
      <c r="I15" s="36" t="str">
        <f t="shared" ca="1" si="1"/>
        <v>VENCIDO</v>
      </c>
      <c r="J15" s="34" t="s">
        <v>242</v>
      </c>
      <c r="K15" s="37">
        <v>45621</v>
      </c>
    </row>
    <row r="17" spans="2:11">
      <c r="B17" s="236"/>
      <c r="C17" s="236"/>
      <c r="D17" s="236"/>
      <c r="E17" s="236"/>
      <c r="F17" s="236"/>
      <c r="G17" s="236"/>
      <c r="H17" s="236"/>
      <c r="I17" s="236"/>
      <c r="J17" s="236"/>
      <c r="K17" s="236"/>
    </row>
    <row r="18" spans="2:11"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spans="2:11">
      <c r="B19" s="64"/>
      <c r="C19" s="65"/>
      <c r="D19" s="66"/>
      <c r="E19" s="51"/>
      <c r="F19" s="51"/>
      <c r="G19" s="51"/>
      <c r="H19" s="51"/>
      <c r="I19" s="53"/>
      <c r="J19" s="237"/>
      <c r="K19" s="238"/>
    </row>
    <row r="20" spans="2:11">
      <c r="B20" s="51"/>
      <c r="C20" s="64"/>
      <c r="D20" s="64"/>
      <c r="E20" s="51"/>
      <c r="F20" s="51"/>
      <c r="G20" s="51"/>
      <c r="H20" s="51"/>
      <c r="I20" s="53"/>
      <c r="J20" s="237"/>
      <c r="K20" s="239"/>
    </row>
    <row r="21" spans="2:11">
      <c r="B21" s="240"/>
      <c r="C21" s="240"/>
      <c r="D21" s="240"/>
      <c r="E21" s="54"/>
      <c r="F21" s="54"/>
      <c r="G21" s="54"/>
      <c r="H21" s="51"/>
      <c r="I21" s="53"/>
      <c r="J21" s="237"/>
      <c r="K21" s="239"/>
    </row>
    <row r="22" spans="2:11">
      <c r="B22" s="41"/>
      <c r="C22" s="38"/>
      <c r="D22" s="38"/>
      <c r="E22" s="38"/>
      <c r="F22" s="38"/>
      <c r="G22" s="38"/>
      <c r="H22" s="38"/>
      <c r="I22" s="38"/>
      <c r="J22" s="38"/>
    </row>
    <row r="23" spans="2:11">
      <c r="B23" s="39"/>
      <c r="C23" s="40"/>
      <c r="D23" s="40"/>
      <c r="E23" s="40"/>
      <c r="F23" s="40"/>
      <c r="G23" s="40"/>
      <c r="H23" s="40"/>
      <c r="I23" s="40"/>
      <c r="J23" s="40"/>
    </row>
    <row r="24" spans="2:11">
      <c r="B24" s="39"/>
      <c r="C24" s="40"/>
      <c r="D24" s="40"/>
      <c r="E24" s="40"/>
      <c r="F24" s="40"/>
      <c r="G24" s="40"/>
      <c r="H24" s="40"/>
      <c r="I24" s="40"/>
      <c r="J24" s="40"/>
    </row>
    <row r="25" spans="2:11">
      <c r="B25" s="39"/>
      <c r="C25" s="40"/>
      <c r="D25" s="40"/>
      <c r="E25" s="40"/>
      <c r="F25" s="40"/>
      <c r="G25" s="40"/>
      <c r="H25" s="40"/>
      <c r="I25" s="40"/>
      <c r="J25" s="40"/>
    </row>
    <row r="26" spans="2:11">
      <c r="B26" s="39"/>
      <c r="C26" s="40"/>
      <c r="D26" s="40"/>
      <c r="E26" s="40"/>
      <c r="F26" s="40"/>
      <c r="G26" s="40"/>
      <c r="H26" s="40"/>
      <c r="I26" s="40"/>
      <c r="J26" s="40"/>
    </row>
  </sheetData>
  <mergeCells count="17">
    <mergeCell ref="C6:D6"/>
    <mergeCell ref="C9:F9"/>
    <mergeCell ref="B1:B4"/>
    <mergeCell ref="C1:J2"/>
    <mergeCell ref="C3:C4"/>
    <mergeCell ref="D3:D4"/>
    <mergeCell ref="E3:E4"/>
    <mergeCell ref="F3:F4"/>
    <mergeCell ref="G3:G4"/>
    <mergeCell ref="H3:H4"/>
    <mergeCell ref="I3:I4"/>
    <mergeCell ref="J3:J4"/>
    <mergeCell ref="A12:K12"/>
    <mergeCell ref="B17:K17"/>
    <mergeCell ref="J19:J21"/>
    <mergeCell ref="K19:K21"/>
    <mergeCell ref="B21:D21"/>
  </mergeCells>
  <phoneticPr fontId="2" type="noConversion"/>
  <conditionalFormatting sqref="G14:G15">
    <cfRule type="cellIs" dxfId="7" priority="7" operator="equal">
      <formula>"LISTO"</formula>
    </cfRule>
    <cfRule type="cellIs" dxfId="6" priority="8" operator="equal">
      <formula>"FALTA"</formula>
    </cfRule>
  </conditionalFormatting>
  <conditionalFormatting sqref="I14">
    <cfRule type="colorScale" priority="11">
      <colorScale>
        <cfvo type="min"/>
        <cfvo type="max"/>
        <color rgb="FFFF7128"/>
        <color rgb="FFFFEF9C"/>
      </colorScale>
    </cfRule>
    <cfRule type="cellIs" dxfId="5" priority="12" operator="lessThan">
      <formula>0</formula>
    </cfRule>
    <cfRule type="containsText" dxfId="4" priority="13" operator="containsText" text="VENCIDO">
      <formula>NOT(ISERROR(SEARCH("VENCIDO",I14)))</formula>
    </cfRule>
    <cfRule type="containsText" dxfId="3" priority="14" operator="containsText" text="PROXIMO A VENCER">
      <formula>NOT(ISERROR(SEARCH("PROXIMO A VENCER",I14)))</formula>
    </cfRule>
  </conditionalFormatting>
  <conditionalFormatting sqref="I15">
    <cfRule type="colorScale" priority="5">
      <colorScale>
        <cfvo type="min"/>
        <cfvo type="max"/>
        <color rgb="FFFF7128"/>
        <color rgb="FFFFEF9C"/>
      </colorScale>
    </cfRule>
    <cfRule type="cellIs" dxfId="2" priority="6" operator="lessThan">
      <formula>0</formula>
    </cfRule>
    <cfRule type="containsText" dxfId="1" priority="9" operator="containsText" text="VENCIDO">
      <formula>NOT(ISERROR(SEARCH("VENCIDO",I15)))</formula>
    </cfRule>
    <cfRule type="containsText" dxfId="0" priority="10" operator="containsText" text="PROXIMO A VENCER">
      <formula>NOT(ISERROR(SEARCH("PROXIMO A VENCER",I15)))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E89A-2BAF-40F6-809E-327DD57FE3BD}">
  <dimension ref="A1:H29"/>
  <sheetViews>
    <sheetView topLeftCell="A11" workbookViewId="0">
      <selection activeCell="F23" sqref="F23"/>
    </sheetView>
  </sheetViews>
  <sheetFormatPr defaultColWidth="11.42578125" defaultRowHeight="15"/>
  <cols>
    <col min="1" max="4" width="21.5703125" style="4" customWidth="1"/>
    <col min="5" max="5" width="11" style="4" customWidth="1"/>
    <col min="6" max="6" width="11.42578125" style="4" customWidth="1"/>
    <col min="7" max="7" width="11.42578125" style="4"/>
    <col min="8" max="8" width="23.7109375" style="4" customWidth="1"/>
    <col min="9" max="256" width="11.42578125" style="4"/>
    <col min="257" max="260" width="21.5703125" style="4" customWidth="1"/>
    <col min="261" max="512" width="11.42578125" style="4"/>
    <col min="513" max="516" width="21.5703125" style="4" customWidth="1"/>
    <col min="517" max="768" width="11.42578125" style="4"/>
    <col min="769" max="772" width="21.5703125" style="4" customWidth="1"/>
    <col min="773" max="1024" width="11.42578125" style="4"/>
    <col min="1025" max="1028" width="21.5703125" style="4" customWidth="1"/>
    <col min="1029" max="1280" width="11.42578125" style="4"/>
    <col min="1281" max="1284" width="21.5703125" style="4" customWidth="1"/>
    <col min="1285" max="1536" width="11.42578125" style="4"/>
    <col min="1537" max="1540" width="21.5703125" style="4" customWidth="1"/>
    <col min="1541" max="1792" width="11.42578125" style="4"/>
    <col min="1793" max="1796" width="21.5703125" style="4" customWidth="1"/>
    <col min="1797" max="2048" width="11.42578125" style="4"/>
    <col min="2049" max="2052" width="21.5703125" style="4" customWidth="1"/>
    <col min="2053" max="2304" width="11.42578125" style="4"/>
    <col min="2305" max="2308" width="21.5703125" style="4" customWidth="1"/>
    <col min="2309" max="2560" width="11.42578125" style="4"/>
    <col min="2561" max="2564" width="21.5703125" style="4" customWidth="1"/>
    <col min="2565" max="2816" width="11.42578125" style="4"/>
    <col min="2817" max="2820" width="21.5703125" style="4" customWidth="1"/>
    <col min="2821" max="3072" width="11.42578125" style="4"/>
    <col min="3073" max="3076" width="21.5703125" style="4" customWidth="1"/>
    <col min="3077" max="3328" width="11.42578125" style="4"/>
    <col min="3329" max="3332" width="21.5703125" style="4" customWidth="1"/>
    <col min="3333" max="3584" width="11.42578125" style="4"/>
    <col min="3585" max="3588" width="21.5703125" style="4" customWidth="1"/>
    <col min="3589" max="3840" width="11.42578125" style="4"/>
    <col min="3841" max="3844" width="21.5703125" style="4" customWidth="1"/>
    <col min="3845" max="4096" width="11.42578125" style="4"/>
    <col min="4097" max="4100" width="21.5703125" style="4" customWidth="1"/>
    <col min="4101" max="4352" width="11.42578125" style="4"/>
    <col min="4353" max="4356" width="21.5703125" style="4" customWidth="1"/>
    <col min="4357" max="4608" width="11.42578125" style="4"/>
    <col min="4609" max="4612" width="21.5703125" style="4" customWidth="1"/>
    <col min="4613" max="4864" width="11.42578125" style="4"/>
    <col min="4865" max="4868" width="21.5703125" style="4" customWidth="1"/>
    <col min="4869" max="5120" width="11.42578125" style="4"/>
    <col min="5121" max="5124" width="21.5703125" style="4" customWidth="1"/>
    <col min="5125" max="5376" width="11.42578125" style="4"/>
    <col min="5377" max="5380" width="21.5703125" style="4" customWidth="1"/>
    <col min="5381" max="5632" width="11.42578125" style="4"/>
    <col min="5633" max="5636" width="21.5703125" style="4" customWidth="1"/>
    <col min="5637" max="5888" width="11.42578125" style="4"/>
    <col min="5889" max="5892" width="21.5703125" style="4" customWidth="1"/>
    <col min="5893" max="6144" width="11.42578125" style="4"/>
    <col min="6145" max="6148" width="21.5703125" style="4" customWidth="1"/>
    <col min="6149" max="6400" width="11.42578125" style="4"/>
    <col min="6401" max="6404" width="21.5703125" style="4" customWidth="1"/>
    <col min="6405" max="6656" width="11.42578125" style="4"/>
    <col min="6657" max="6660" width="21.5703125" style="4" customWidth="1"/>
    <col min="6661" max="6912" width="11.42578125" style="4"/>
    <col min="6913" max="6916" width="21.5703125" style="4" customWidth="1"/>
    <col min="6917" max="7168" width="11.42578125" style="4"/>
    <col min="7169" max="7172" width="21.5703125" style="4" customWidth="1"/>
    <col min="7173" max="7424" width="11.42578125" style="4"/>
    <col min="7425" max="7428" width="21.5703125" style="4" customWidth="1"/>
    <col min="7429" max="7680" width="11.42578125" style="4"/>
    <col min="7681" max="7684" width="21.5703125" style="4" customWidth="1"/>
    <col min="7685" max="7936" width="11.42578125" style="4"/>
    <col min="7937" max="7940" width="21.5703125" style="4" customWidth="1"/>
    <col min="7941" max="8192" width="11.42578125" style="4"/>
    <col min="8193" max="8196" width="21.5703125" style="4" customWidth="1"/>
    <col min="8197" max="8448" width="11.42578125" style="4"/>
    <col min="8449" max="8452" width="21.5703125" style="4" customWidth="1"/>
    <col min="8453" max="8704" width="11.42578125" style="4"/>
    <col min="8705" max="8708" width="21.5703125" style="4" customWidth="1"/>
    <col min="8709" max="8960" width="11.42578125" style="4"/>
    <col min="8961" max="8964" width="21.5703125" style="4" customWidth="1"/>
    <col min="8965" max="9216" width="11.42578125" style="4"/>
    <col min="9217" max="9220" width="21.5703125" style="4" customWidth="1"/>
    <col min="9221" max="9472" width="11.42578125" style="4"/>
    <col min="9473" max="9476" width="21.5703125" style="4" customWidth="1"/>
    <col min="9477" max="9728" width="11.42578125" style="4"/>
    <col min="9729" max="9732" width="21.5703125" style="4" customWidth="1"/>
    <col min="9733" max="9984" width="11.42578125" style="4"/>
    <col min="9985" max="9988" width="21.5703125" style="4" customWidth="1"/>
    <col min="9989" max="10240" width="11.42578125" style="4"/>
    <col min="10241" max="10244" width="21.5703125" style="4" customWidth="1"/>
    <col min="10245" max="10496" width="11.42578125" style="4"/>
    <col min="10497" max="10500" width="21.5703125" style="4" customWidth="1"/>
    <col min="10501" max="10752" width="11.42578125" style="4"/>
    <col min="10753" max="10756" width="21.5703125" style="4" customWidth="1"/>
    <col min="10757" max="11008" width="11.42578125" style="4"/>
    <col min="11009" max="11012" width="21.5703125" style="4" customWidth="1"/>
    <col min="11013" max="11264" width="11.42578125" style="4"/>
    <col min="11265" max="11268" width="21.5703125" style="4" customWidth="1"/>
    <col min="11269" max="11520" width="11.42578125" style="4"/>
    <col min="11521" max="11524" width="21.5703125" style="4" customWidth="1"/>
    <col min="11525" max="11776" width="11.42578125" style="4"/>
    <col min="11777" max="11780" width="21.5703125" style="4" customWidth="1"/>
    <col min="11781" max="12032" width="11.42578125" style="4"/>
    <col min="12033" max="12036" width="21.5703125" style="4" customWidth="1"/>
    <col min="12037" max="12288" width="11.42578125" style="4"/>
    <col min="12289" max="12292" width="21.5703125" style="4" customWidth="1"/>
    <col min="12293" max="12544" width="11.42578125" style="4"/>
    <col min="12545" max="12548" width="21.5703125" style="4" customWidth="1"/>
    <col min="12549" max="12800" width="11.42578125" style="4"/>
    <col min="12801" max="12804" width="21.5703125" style="4" customWidth="1"/>
    <col min="12805" max="13056" width="11.42578125" style="4"/>
    <col min="13057" max="13060" width="21.5703125" style="4" customWidth="1"/>
    <col min="13061" max="13312" width="11.42578125" style="4"/>
    <col min="13313" max="13316" width="21.5703125" style="4" customWidth="1"/>
    <col min="13317" max="13568" width="11.42578125" style="4"/>
    <col min="13569" max="13572" width="21.5703125" style="4" customWidth="1"/>
    <col min="13573" max="13824" width="11.42578125" style="4"/>
    <col min="13825" max="13828" width="21.5703125" style="4" customWidth="1"/>
    <col min="13829" max="14080" width="11.42578125" style="4"/>
    <col min="14081" max="14084" width="21.5703125" style="4" customWidth="1"/>
    <col min="14085" max="14336" width="11.42578125" style="4"/>
    <col min="14337" max="14340" width="21.5703125" style="4" customWidth="1"/>
    <col min="14341" max="14592" width="11.42578125" style="4"/>
    <col min="14593" max="14596" width="21.5703125" style="4" customWidth="1"/>
    <col min="14597" max="14848" width="11.42578125" style="4"/>
    <col min="14849" max="14852" width="21.5703125" style="4" customWidth="1"/>
    <col min="14853" max="15104" width="11.42578125" style="4"/>
    <col min="15105" max="15108" width="21.5703125" style="4" customWidth="1"/>
    <col min="15109" max="15360" width="11.42578125" style="4"/>
    <col min="15361" max="15364" width="21.5703125" style="4" customWidth="1"/>
    <col min="15365" max="15616" width="11.42578125" style="4"/>
    <col min="15617" max="15620" width="21.5703125" style="4" customWidth="1"/>
    <col min="15621" max="15872" width="11.42578125" style="4"/>
    <col min="15873" max="15876" width="21.5703125" style="4" customWidth="1"/>
    <col min="15877" max="16128" width="11.42578125" style="4"/>
    <col min="16129" max="16132" width="21.5703125" style="4" customWidth="1"/>
    <col min="16133" max="16384" width="11.42578125" style="4"/>
  </cols>
  <sheetData>
    <row r="1" spans="1:8" ht="25.5" customHeight="1">
      <c r="A1" s="254"/>
      <c r="B1" s="254"/>
      <c r="C1" s="255" t="s">
        <v>0</v>
      </c>
      <c r="D1" s="255"/>
      <c r="E1" s="255"/>
      <c r="F1" s="255"/>
      <c r="G1" s="255"/>
      <c r="H1" s="255"/>
    </row>
    <row r="2" spans="1:8" ht="25.5" customHeight="1">
      <c r="A2" s="254"/>
      <c r="B2" s="254"/>
      <c r="C2" s="255"/>
      <c r="D2" s="255"/>
      <c r="E2" s="255"/>
      <c r="F2" s="255"/>
      <c r="G2" s="255"/>
      <c r="H2" s="255"/>
    </row>
    <row r="3" spans="1:8" ht="24" customHeight="1">
      <c r="A3" s="254"/>
      <c r="B3" s="254"/>
      <c r="C3" s="5" t="s">
        <v>1</v>
      </c>
      <c r="D3" s="6" t="s">
        <v>2</v>
      </c>
      <c r="E3" s="5" t="s">
        <v>3</v>
      </c>
      <c r="F3" s="7" t="s">
        <v>4</v>
      </c>
      <c r="G3" s="8" t="s">
        <v>5</v>
      </c>
      <c r="H3" s="9">
        <v>45950</v>
      </c>
    </row>
    <row r="4" spans="1:8" ht="19.5">
      <c r="A4" s="10"/>
    </row>
    <row r="5" spans="1:8" ht="19.5">
      <c r="A5" s="256" t="s">
        <v>243</v>
      </c>
      <c r="B5" s="256"/>
      <c r="C5" s="256"/>
      <c r="D5" s="256"/>
      <c r="E5" s="256"/>
      <c r="F5" s="256"/>
      <c r="G5" s="256"/>
      <c r="H5" s="256"/>
    </row>
    <row r="6" spans="1:8" ht="20.25" thickBot="1">
      <c r="A6" s="11"/>
    </row>
    <row r="7" spans="1:8" ht="16.5" thickTop="1" thickBot="1">
      <c r="A7" s="12" t="s">
        <v>5</v>
      </c>
      <c r="B7" s="13" t="s">
        <v>244</v>
      </c>
      <c r="C7" s="257" t="s">
        <v>245</v>
      </c>
      <c r="D7" s="258"/>
      <c r="E7" s="258"/>
      <c r="F7" s="258"/>
      <c r="G7" s="258" t="s">
        <v>246</v>
      </c>
      <c r="H7" s="258"/>
    </row>
    <row r="8" spans="1:8" ht="35.25" customHeight="1" thickTop="1" thickBot="1">
      <c r="A8" s="14">
        <v>45244</v>
      </c>
      <c r="B8" s="131" t="s">
        <v>247</v>
      </c>
      <c r="C8" s="249" t="s">
        <v>248</v>
      </c>
      <c r="D8" s="250"/>
      <c r="E8" s="250"/>
      <c r="F8" s="251"/>
      <c r="G8" s="252" t="s">
        <v>249</v>
      </c>
      <c r="H8" s="253"/>
    </row>
    <row r="9" spans="1:8" ht="30" customHeight="1" thickBot="1">
      <c r="A9" s="14">
        <v>45440</v>
      </c>
      <c r="B9" s="131" t="s">
        <v>250</v>
      </c>
      <c r="C9" s="249" t="s">
        <v>251</v>
      </c>
      <c r="D9" s="250"/>
      <c r="E9" s="250"/>
      <c r="F9" s="251"/>
      <c r="G9" s="252" t="s">
        <v>249</v>
      </c>
      <c r="H9" s="253"/>
    </row>
    <row r="10" spans="1:8" ht="44.45" customHeight="1" thickBot="1">
      <c r="A10" s="14">
        <v>45709</v>
      </c>
      <c r="B10" s="131" t="s">
        <v>252</v>
      </c>
      <c r="C10" s="249" t="s">
        <v>253</v>
      </c>
      <c r="D10" s="250"/>
      <c r="E10" s="250"/>
      <c r="F10" s="251"/>
      <c r="G10" s="252" t="s">
        <v>249</v>
      </c>
      <c r="H10" s="253"/>
    </row>
    <row r="11" spans="1:8" ht="54.75" customHeight="1">
      <c r="A11" s="14">
        <v>45803</v>
      </c>
      <c r="B11" s="131" t="s">
        <v>233</v>
      </c>
      <c r="C11" s="249" t="s">
        <v>254</v>
      </c>
      <c r="D11" s="250"/>
      <c r="E11" s="250"/>
      <c r="F11" s="251"/>
      <c r="G11" s="252" t="s">
        <v>249</v>
      </c>
      <c r="H11" s="253"/>
    </row>
    <row r="12" spans="1:8" ht="39.75" customHeight="1">
      <c r="A12" s="14">
        <v>45950</v>
      </c>
      <c r="B12" s="131" t="s">
        <v>4</v>
      </c>
      <c r="C12" s="249" t="s">
        <v>255</v>
      </c>
      <c r="D12" s="250"/>
      <c r="E12" s="250"/>
      <c r="F12" s="251"/>
      <c r="G12" s="252" t="s">
        <v>256</v>
      </c>
      <c r="H12" s="253"/>
    </row>
    <row r="13" spans="1:8">
      <c r="A13" s="15"/>
    </row>
    <row r="14" spans="1:8">
      <c r="A14" s="15"/>
    </row>
    <row r="15" spans="1:8">
      <c r="A15" s="15"/>
    </row>
    <row r="16" spans="1:8">
      <c r="A16" s="15"/>
    </row>
    <row r="17" spans="1:8" ht="17.25" customHeight="1" thickBot="1">
      <c r="A17" s="262" t="s">
        <v>257</v>
      </c>
      <c r="B17" s="263"/>
      <c r="C17" s="263"/>
      <c r="D17" s="263"/>
      <c r="E17" s="263"/>
      <c r="F17" s="263"/>
      <c r="G17" s="263"/>
      <c r="H17" s="263"/>
    </row>
    <row r="18" spans="1:8" ht="16.5" customHeight="1" thickTop="1" thickBot="1">
      <c r="A18" s="264" t="s">
        <v>258</v>
      </c>
      <c r="B18" s="265"/>
      <c r="C18" s="266" t="s">
        <v>259</v>
      </c>
      <c r="D18" s="267"/>
      <c r="E18" s="266" t="s">
        <v>260</v>
      </c>
      <c r="F18" s="267"/>
      <c r="G18" s="267"/>
      <c r="H18" s="267"/>
    </row>
    <row r="19" spans="1:8" ht="54" customHeight="1" thickTop="1" thickBot="1">
      <c r="A19" s="268"/>
      <c r="B19" s="269"/>
      <c r="C19" s="270"/>
      <c r="D19" s="271"/>
      <c r="E19" s="272"/>
      <c r="F19" s="273"/>
      <c r="G19" s="273"/>
      <c r="H19" s="274"/>
    </row>
    <row r="20" spans="1:8" ht="19.5" customHeight="1" thickTop="1" thickBot="1">
      <c r="A20" s="16" t="s">
        <v>261</v>
      </c>
      <c r="B20" s="17" t="s">
        <v>262</v>
      </c>
      <c r="C20" s="17" t="s">
        <v>261</v>
      </c>
      <c r="D20" s="18" t="s">
        <v>263</v>
      </c>
      <c r="E20" s="19" t="s">
        <v>261</v>
      </c>
      <c r="F20" s="275" t="s">
        <v>264</v>
      </c>
      <c r="G20" s="276"/>
      <c r="H20" s="277"/>
    </row>
    <row r="21" spans="1:8" ht="18.75" thickBot="1">
      <c r="A21" s="16" t="s">
        <v>265</v>
      </c>
      <c r="B21" s="17" t="s">
        <v>266</v>
      </c>
      <c r="C21" s="17" t="s">
        <v>265</v>
      </c>
      <c r="D21" s="18" t="s">
        <v>267</v>
      </c>
      <c r="E21" s="19" t="s">
        <v>265</v>
      </c>
      <c r="F21" s="275" t="s">
        <v>268</v>
      </c>
      <c r="G21" s="276"/>
      <c r="H21" s="277"/>
    </row>
    <row r="22" spans="1:8">
      <c r="A22" s="20" t="s">
        <v>269</v>
      </c>
      <c r="B22" s="21">
        <v>45950</v>
      </c>
      <c r="C22" s="22" t="s">
        <v>269</v>
      </c>
      <c r="D22" s="21">
        <v>45950</v>
      </c>
      <c r="E22" s="23" t="s">
        <v>269</v>
      </c>
      <c r="F22" s="259">
        <v>45950</v>
      </c>
      <c r="G22" s="260"/>
      <c r="H22" s="261"/>
    </row>
    <row r="23" spans="1:8" ht="15.75" thickTop="1"/>
    <row r="29" spans="1:8">
      <c r="C29" s="24"/>
    </row>
  </sheetData>
  <mergeCells count="25">
    <mergeCell ref="F22:H22"/>
    <mergeCell ref="C12:F12"/>
    <mergeCell ref="G12:H12"/>
    <mergeCell ref="A17:H17"/>
    <mergeCell ref="A18:B18"/>
    <mergeCell ref="C18:D18"/>
    <mergeCell ref="E18:H18"/>
    <mergeCell ref="A19:B19"/>
    <mergeCell ref="C19:D19"/>
    <mergeCell ref="E19:H19"/>
    <mergeCell ref="F20:H20"/>
    <mergeCell ref="F21:H21"/>
    <mergeCell ref="C9:F9"/>
    <mergeCell ref="G9:H9"/>
    <mergeCell ref="C10:F10"/>
    <mergeCell ref="G10:H10"/>
    <mergeCell ref="C11:F11"/>
    <mergeCell ref="G11:H11"/>
    <mergeCell ref="C8:F8"/>
    <mergeCell ref="G8:H8"/>
    <mergeCell ref="A1:B3"/>
    <mergeCell ref="C1:H2"/>
    <mergeCell ref="A5:H5"/>
    <mergeCell ref="C7:F7"/>
    <mergeCell ref="G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Asesor Comercial Valser</dc:creator>
  <cp:keywords/>
  <dc:description/>
  <cp:lastModifiedBy>Tecnico Servicios Valser</cp:lastModifiedBy>
  <cp:revision/>
  <dcterms:created xsi:type="dcterms:W3CDTF">2023-11-16T19:06:13Z</dcterms:created>
  <dcterms:modified xsi:type="dcterms:W3CDTF">2025-11-04T13:15:24Z</dcterms:modified>
  <cp:category/>
  <cp:contentStatus/>
</cp:coreProperties>
</file>